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Lane\Desktop\"/>
    </mc:Choice>
  </mc:AlternateContent>
  <xr:revisionPtr revIDLastSave="0" documentId="13_ncr:1_{087FDA0C-DD1F-4BF2-A34B-5E1D167FACFB}" xr6:coauthVersionLast="47" xr6:coauthVersionMax="47" xr10:uidLastSave="{00000000-0000-0000-0000-000000000000}"/>
  <bookViews>
    <workbookView xWindow="28680" yWindow="-120" windowWidth="29040" windowHeight="15840" activeTab="4" xr2:uid="{00000000-000D-0000-FFFF-FFFF00000000}"/>
  </bookViews>
  <sheets>
    <sheet name="US" sheetId="6" r:id="rId1"/>
    <sheet name="Sweden" sheetId="5" r:id="rId2"/>
    <sheet name="Brazil" sheetId="7" r:id="rId3"/>
    <sheet name="China" sheetId="8" r:id="rId4"/>
    <sheet name="Data" sheetId="1" r:id="rId5"/>
    <sheet name="Series - Metadata"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1" l="1"/>
  <c r="D28" i="1"/>
  <c r="D27" i="1"/>
  <c r="D26" i="1"/>
  <c r="D16" i="1"/>
  <c r="E16" i="1"/>
  <c r="F16" i="1"/>
  <c r="G16" i="1"/>
  <c r="H16" i="1"/>
  <c r="I16" i="1"/>
  <c r="J16" i="1"/>
  <c r="K16" i="1"/>
  <c r="L16" i="1"/>
  <c r="M16" i="1"/>
  <c r="N16" i="1"/>
  <c r="O16" i="1"/>
  <c r="P16" i="1"/>
  <c r="Q16" i="1"/>
  <c r="R16" i="1"/>
  <c r="S16" i="1"/>
  <c r="T16" i="1"/>
  <c r="U16" i="1"/>
  <c r="V16" i="1"/>
  <c r="W16" i="1"/>
  <c r="X16" i="1"/>
  <c r="Y16" i="1"/>
  <c r="Z16" i="1"/>
  <c r="AA16" i="1"/>
  <c r="AB16" i="1"/>
  <c r="AC16" i="1"/>
  <c r="AD16" i="1"/>
  <c r="AE16" i="1"/>
  <c r="AF16" i="1"/>
  <c r="AG16" i="1"/>
  <c r="AH16" i="1"/>
  <c r="AI16" i="1"/>
  <c r="AJ16" i="1"/>
  <c r="AK16" i="1"/>
  <c r="AL16" i="1"/>
  <c r="AM16" i="1"/>
  <c r="AN16" i="1"/>
  <c r="AO16" i="1"/>
  <c r="AP16" i="1"/>
  <c r="AQ16" i="1"/>
  <c r="AR16" i="1"/>
  <c r="C16" i="1"/>
  <c r="D12" i="1"/>
  <c r="E12" i="1"/>
  <c r="F12" i="1"/>
  <c r="G12" i="1"/>
  <c r="H12" i="1"/>
  <c r="I12" i="1"/>
  <c r="J12" i="1"/>
  <c r="K12" i="1"/>
  <c r="L12" i="1"/>
  <c r="M12" i="1"/>
  <c r="N12" i="1"/>
  <c r="O12" i="1"/>
  <c r="P12" i="1"/>
  <c r="Q12" i="1"/>
  <c r="R12" i="1"/>
  <c r="S12" i="1"/>
  <c r="T12" i="1"/>
  <c r="U12" i="1"/>
  <c r="V12" i="1"/>
  <c r="W12" i="1"/>
  <c r="X12" i="1"/>
  <c r="Y12" i="1"/>
  <c r="Z12" i="1"/>
  <c r="AA12" i="1"/>
  <c r="AB12" i="1"/>
  <c r="AC12" i="1"/>
  <c r="AD12" i="1"/>
  <c r="AE12" i="1"/>
  <c r="AF12" i="1"/>
  <c r="AG12" i="1"/>
  <c r="AH12" i="1"/>
  <c r="AI12" i="1"/>
  <c r="AJ12" i="1"/>
  <c r="AK12" i="1"/>
  <c r="AL12" i="1"/>
  <c r="AM12" i="1"/>
  <c r="AN12" i="1"/>
  <c r="AO12" i="1"/>
  <c r="AP12" i="1"/>
  <c r="AQ12" i="1"/>
  <c r="AR12" i="1"/>
  <c r="C12" i="1"/>
  <c r="D8" i="1"/>
  <c r="E8" i="1"/>
  <c r="F8" i="1"/>
  <c r="G8" i="1"/>
  <c r="H8" i="1"/>
  <c r="I8" i="1"/>
  <c r="J8" i="1"/>
  <c r="K8" i="1"/>
  <c r="L8" i="1"/>
  <c r="M8" i="1"/>
  <c r="N8" i="1"/>
  <c r="O8" i="1"/>
  <c r="P8" i="1"/>
  <c r="Q8" i="1"/>
  <c r="R8" i="1"/>
  <c r="S8" i="1"/>
  <c r="T8" i="1"/>
  <c r="U8" i="1"/>
  <c r="V8" i="1"/>
  <c r="W8" i="1"/>
  <c r="X8" i="1"/>
  <c r="Y8" i="1"/>
  <c r="Z8" i="1"/>
  <c r="AA8" i="1"/>
  <c r="AB8" i="1"/>
  <c r="AC8" i="1"/>
  <c r="AD8" i="1"/>
  <c r="AE8" i="1"/>
  <c r="AF8" i="1"/>
  <c r="AG8" i="1"/>
  <c r="AH8" i="1"/>
  <c r="AI8" i="1"/>
  <c r="AJ8" i="1"/>
  <c r="AK8" i="1"/>
  <c r="AL8" i="1"/>
  <c r="AM8" i="1"/>
  <c r="AN8" i="1"/>
  <c r="AO8" i="1"/>
  <c r="AP8" i="1"/>
  <c r="AQ8" i="1"/>
  <c r="AR8" i="1"/>
  <c r="C8" i="1"/>
  <c r="W4" i="1"/>
  <c r="X4" i="1"/>
  <c r="Y4" i="1"/>
  <c r="Z4" i="1"/>
  <c r="AA4" i="1"/>
  <c r="AB4" i="1"/>
  <c r="AC4" i="1"/>
  <c r="AD4" i="1"/>
  <c r="AE4" i="1"/>
  <c r="AF4" i="1"/>
  <c r="AG4" i="1"/>
  <c r="AH4" i="1"/>
  <c r="AI4" i="1"/>
  <c r="AJ4" i="1"/>
  <c r="AK4" i="1"/>
  <c r="AL4" i="1"/>
  <c r="AM4" i="1"/>
  <c r="AN4" i="1"/>
  <c r="AO4" i="1"/>
  <c r="AP4" i="1"/>
  <c r="AQ4" i="1"/>
  <c r="AR4" i="1"/>
  <c r="F4" i="1"/>
  <c r="G4" i="1"/>
  <c r="H4" i="1"/>
  <c r="I4" i="1"/>
  <c r="J4" i="1"/>
  <c r="K4" i="1"/>
  <c r="L4" i="1"/>
  <c r="M4" i="1"/>
  <c r="N4" i="1"/>
  <c r="O4" i="1"/>
  <c r="P4" i="1"/>
  <c r="Q4" i="1"/>
  <c r="R4" i="1"/>
  <c r="S4" i="1"/>
  <c r="T4" i="1"/>
  <c r="U4" i="1"/>
  <c r="V4" i="1"/>
  <c r="E4" i="1"/>
  <c r="D4" i="1"/>
  <c r="C4" i="1"/>
</calcChain>
</file>

<file path=xl/sharedStrings.xml><?xml version="1.0" encoding="utf-8"?>
<sst xmlns="http://schemas.openxmlformats.org/spreadsheetml/2006/main" count="194" uniqueCount="92">
  <si>
    <t>Last Updated: 05/10/2023</t>
  </si>
  <si>
    <t>Source</t>
  </si>
  <si>
    <t>Adult literacy rate is the percentage of people ages 15 and above who can both read and write with understanding a short simple statement about their everyday life.</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</si>
  <si>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</si>
  <si>
    <t>Indicator Name</t>
  </si>
  <si>
    <t>GDP (constant 2015 US$)</t>
  </si>
  <si>
    <t>Gap-filled total</t>
  </si>
  <si>
    <t>Gini index</t>
  </si>
  <si>
    <t>Unemployment, total (% of total labor force) (national estimate)</t>
  </si>
  <si>
    <t>Brazil</t>
  </si>
  <si>
    <t>Education: Outcomes</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</si>
  <si>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</si>
  <si>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</si>
  <si>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Labor force participation rate, total (% of total population ages 15+) (national estimate)</t>
  </si>
  <si>
    <t>Estimates of women in the labor force and employment are generally lower than those of men and are not comparable internationally, reflecting that demographic, social, legal, and cultural trends and norms determine whether women's activities are regarded as economic. In many low-income countries women often work on farms or in other family enterprises without pay, and others work in or near their homes, mixing work and family activities during the day. In many high-income economies, women have been increasingly acquiring higher education that has led to better-compensated, longer-term careers rather than lower-skilled, shorter-term jobs. However, access to good- paying occupations for women remains unequal in many occupations and countries around the world. Labor force statistics by gender is important to monitor gender disparities in employment and unemployment patterns.</t>
  </si>
  <si>
    <t>UNESCO Institute for Statistics (UIS). UIS.Stat Bulk Data Download Service. Accessed October 24, 2022. https://apiportal.uis.unesco.org/bdds.</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</si>
  <si>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</si>
  <si>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Code</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</si>
  <si>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</si>
  <si>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</si>
  <si>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https://datacatalog.worldbank.org/public-licenses#cc-by</t>
  </si>
  <si>
    <t>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</si>
  <si>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</si>
  <si>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China</t>
  </si>
  <si>
    <t>National poverty headcount ratio is the percentage of the population living below the national poverty line(s).</t>
  </si>
  <si>
    <t>SI.POV.NAHC</t>
  </si>
  <si>
    <t>The Gini index measures the extent to which the distribution of income or consumption among individuals or households within an economy deviates from a perfectly equal distribution. A Gini index of 0 represents perfect equality, while an index of 100 implies perfect inequality.</t>
  </si>
  <si>
    <t>Social Protection &amp; Labor: Unemployment</t>
  </si>
  <si>
    <t>International Labour Organization. “Labour Force Statistics database (LFS)” ILOSTAT. Accessed April 25, 2023. https://ilostat.ilo.org/data/.</t>
  </si>
  <si>
    <t>India</t>
  </si>
  <si>
    <t>Data from database: World Development Indicators</t>
  </si>
  <si>
    <t>Base Period</t>
  </si>
  <si>
    <t>NY.GDP.MKTP.KD</t>
  </si>
  <si>
    <t>..</t>
  </si>
  <si>
    <t>The standard definition of unemployed persons is those individuals without work, seeking work in a recent past period, and currently available for work, including people who have lost their jobs or who have voluntarily left work. Persons who did not look for work but have an arrangements for a future job are also counted as unemployed. 
Some unemployment is unavoidable. At any time some workers are temporarily unemployed between jobs as employers look for the right workers and workers search for better jobs. It is the labour force or the economically active portion of the population that serves as the base for this indicator, not the total population.</t>
  </si>
  <si>
    <t>License URL</t>
  </si>
  <si>
    <t>Periodicity</t>
  </si>
  <si>
    <t>Poverty headcount ratio at national poverty lines (% of population)</t>
  </si>
  <si>
    <t>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
Data on literacy are compiled by the UNESCO Institute for Statistics based on national censuses and household surveys and, for countries without recent literacy data, using the Global Age-Specific Literacy Projection Model (GALP). For detailed information, see www.uis.unesco.org.</t>
  </si>
  <si>
    <t>%</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</si>
  <si>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</si>
  <si>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This series only includes estimates that to the best of our knowledge are reasonably comparable over time for a country. Due to differences in estimation methodologies and poverty lines, estimates should not be compared across countries.</t>
  </si>
  <si>
    <t>Unemployment refers to the share of the labor force that is without work but available for and seeking employment. Definitions of labor force and unemployment differ by country.</t>
  </si>
  <si>
    <t>Paradoxically, low unemployment rates can disguise substantial poverty in a country, while high unemployment rates can occur in countries with a high level of economic development and low rates of poverty. In countries without unemployment or welfare benefits people eke out a living in vulnerable employment. In countries with well-developed safety nets workers can afford to wait for suitable or desirable jobs. But high and sustained unemployment indicates serious inefficiencies in resource allocation.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Unemployment is a key measure to monitor whether a country is on track to achieve the Sustainable Development Goal of promoting sustained, inclusive and sustainable economic growth, full and productive employment and decent work for all. [SDG Indicator 8.5.2]</t>
  </si>
  <si>
    <t>Unit of measure</t>
  </si>
  <si>
    <t>Annual</t>
  </si>
  <si>
    <t>The series for ILO estimates is also available in the WDI database. Caution should be used when comparing ILO estimates with national estimates.</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</si>
  <si>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</si>
  <si>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License Type</t>
  </si>
  <si>
    <t>Long definition</t>
  </si>
  <si>
    <t>General comments</t>
  </si>
  <si>
    <t>World Bank, Poverty and Inequality Platform. Data are compiled from official government sources or are computed by World Bank staff using national (i.e. country–specific) poverty lines.</t>
  </si>
  <si>
    <t>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</si>
  <si>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Social Protection &amp; Labor: Labor force structure</t>
  </si>
  <si>
    <t>The World Bank Group's goal of promoting shared prosperity has been defined as fostering income growth of the bottom 40 per cent of the welfare distribution in every country. Gini coefficients are important background information for shared prosperity.</t>
  </si>
  <si>
    <t>United States</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</si>
  <si>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</si>
  <si>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prices, expressed in U.S. dollars. Dollar figures for GDP are converted from domestic currencies using 2015 official exchange rates. For a few countries where the official exchange rate does not reflect the rate effectively applied to actual foreign exchange transactions, an alternative conversion factor is used.</t>
  </si>
  <si>
    <t>Poverty: Poverty rates</t>
  </si>
  <si>
    <t>Labor force participation rate is the proportion of the population ages 15 and older that is economically active: all people who supply labor for the production of goods and services during a specified period.</t>
  </si>
  <si>
    <t>Development relevance</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</si>
  <si>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</si>
  <si>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SL.UEM.TOTL.NE.ZS</t>
  </si>
  <si>
    <t>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t>
  </si>
  <si>
    <t>Poverty: Income distribution</t>
  </si>
  <si>
    <t>Topic</t>
  </si>
  <si>
    <t>The poverty rate as defined by national poverty lines reflects the share of the population that fails to meet the standard a country thinks is necessarty to cover basic needs.</t>
  </si>
  <si>
    <t>Weighted average</t>
  </si>
  <si>
    <t>Aggregation method</t>
  </si>
  <si>
    <t>GDP per capita (constant 2015 US$)</t>
  </si>
  <si>
    <t>Related source links</t>
  </si>
  <si>
    <t>CC BY-4.0</t>
  </si>
  <si>
    <t>SI.POV.GINI</t>
  </si>
  <si>
    <t>SL.TLF.CACT.NE.ZS</t>
  </si>
  <si>
    <t>Economic Policy &amp; Debt: National accounts: US$ at constant 2015 prices: Aggregate indicators</t>
  </si>
  <si>
    <t>World Bank national accounts data, and OECD National Accounts data files.</t>
  </si>
  <si>
    <t>World Bank, Poverty and Inequality Platform: https://pip.worldbank.org/</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</si>
  <si>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U.S. dollar series are used to calculate regional and income group growth rates. Local currency series are converted to constant U.S. dollars using an exchange rate in the common reference year.</t>
  </si>
  <si>
    <t>Limitations and exceptions</t>
  </si>
  <si>
    <t>Statistical concept and methodology</t>
  </si>
  <si>
    <t>Short definition</t>
  </si>
  <si>
    <t>The World Bank’s internationally comparable poverty monitoring database now draws on income or detailed consumption data from more than 2000 household surveys across 169 countries. See the Poverty and Inequality Platform (PIP) for details (www.pip.worldbank.org).</t>
  </si>
  <si>
    <t>Sweden</t>
  </si>
  <si>
    <t>NY.GDP.PCAP.KD</t>
  </si>
  <si>
    <t>SE.ADT.LITR.ZS</t>
  </si>
  <si>
    <t>Literacy rate, adult total (% of people ages 15 and above)</t>
  </si>
  <si>
    <t>For more information, see the metadata for constant U.S. dollar GDP (NY.GDP.MKTP.KD) and total population (SP.POP.TOTL).</t>
  </si>
  <si>
    <t>ln of GDP per capita (constant 2015 US$)</t>
  </si>
  <si>
    <t>Real GDP per Capita (ln)</t>
  </si>
  <si>
    <t>Variable</t>
  </si>
  <si>
    <t>Country</t>
  </si>
  <si>
    <t>Correlation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</si>
</sst>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chartsheet" Target="chartsheets/sheet3.xml"/><Relationship Id="rId7" Type="http://schemas.openxmlformats.org/officeDocument/2006/relationships/theme" Target="theme/theme1.xml"/><Relationship Id="rId2" Type="http://schemas.openxmlformats.org/officeDocument/2006/relationships/chartsheet" Target="chartsheets/sheet2.xml"/><Relationship Id="rId1" Type="http://schemas.openxmlformats.org/officeDocument/2006/relationships/chartsheet" Target="chartsheets/sheet1.xml"/><Relationship Id="rId6" Type="http://schemas.openxmlformats.org/officeDocument/2006/relationships/worksheet" Target="worksheets/sheet2.xml"/><Relationship Id="rId5" Type="http://schemas.openxmlformats.org/officeDocument/2006/relationships/worksheet" Target="worksheets/sheet1.xml"/><Relationship Id="rId10" Type="http://schemas.openxmlformats.org/officeDocument/2006/relationships/calcChain" Target="calcChain.xml"/><Relationship Id="rId4" Type="http://schemas.openxmlformats.org/officeDocument/2006/relationships/chartsheet" Target="chart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73963759972097"/>
          <c:y val="2.4217334367496141E-2"/>
          <c:w val="0.8681263344571839"/>
          <c:h val="0.86354882788260567"/>
        </c:manualLayout>
      </c:layout>
      <c:scatterChart>
        <c:scatterStyle val="lineMarker"/>
        <c:varyColors val="0"/>
        <c:ser>
          <c:idx val="0"/>
          <c:order val="0"/>
          <c:tx>
            <c:strRef>
              <c:f>Data!$B$5</c:f>
              <c:strCache>
                <c:ptCount val="1"/>
                <c:pt idx="0">
                  <c:v>Gini index</c:v>
                </c:pt>
              </c:strCache>
            </c:strRef>
          </c:tx>
          <c:spPr>
            <a:ln w="25400" cap="rnd">
              <a:noFill/>
            </a:ln>
            <a:effectLst>
              <a:outerShdw blurRad="50800" dist="50800" dir="5400000" sx="37000" sy="37000" algn="ctr" rotWithShape="0">
                <a:schemeClr val="accent2"/>
              </a:outerShdw>
            </a:effectLst>
          </c:spPr>
          <c:marker>
            <c:symbol val="circle"/>
            <c:size val="3"/>
            <c:spPr>
              <a:solidFill>
                <a:schemeClr val="accent2"/>
              </a:solidFill>
              <a:ln>
                <a:noFill/>
              </a:ln>
              <a:effectLst>
                <a:outerShdw blurRad="50800" dist="50800" dir="5400000" sx="37000" sy="37000" algn="ctr" rotWithShape="0">
                  <a:schemeClr val="accent2"/>
                </a:outerShdw>
              </a:effectLst>
            </c:spPr>
          </c:marker>
          <c:trendline>
            <c:spPr>
              <a:ln w="25400" cap="rnd">
                <a:solidFill>
                  <a:schemeClr val="accent2">
                    <a:alpha val="50000"/>
                  </a:schemeClr>
                </a:solidFill>
              </a:ln>
              <a:effectLst/>
            </c:spPr>
            <c:trendlineType val="linear"/>
            <c:dispRSqr val="0"/>
            <c:dispEq val="0"/>
          </c:trendline>
          <c:xVal>
            <c:numRef>
              <c:f>Data!$C$4:$AR$4</c:f>
              <c:numCache>
                <c:formatCode>0.00</c:formatCode>
                <c:ptCount val="42"/>
                <c:pt idx="0">
                  <c:v>10.359119157355064</c:v>
                </c:pt>
                <c:pt idx="1">
                  <c:v>10.34695245971637</c:v>
                </c:pt>
                <c:pt idx="2">
                  <c:v>10.362198843481709</c:v>
                </c:pt>
                <c:pt idx="3">
                  <c:v>10.334472293411327</c:v>
                </c:pt>
                <c:pt idx="4">
                  <c:v>10.370148070078777</c:v>
                </c:pt>
                <c:pt idx="5">
                  <c:v>10.431357628136125</c:v>
                </c:pt>
                <c:pt idx="6">
                  <c:v>10.463347031580463</c:v>
                </c:pt>
                <c:pt idx="7">
                  <c:v>10.488145843091973</c:v>
                </c:pt>
                <c:pt idx="8">
                  <c:v>10.513215199696274</c:v>
                </c:pt>
                <c:pt idx="9">
                  <c:v>10.545056987233799</c:v>
                </c:pt>
                <c:pt idx="10">
                  <c:v>10.571681066729408</c:v>
                </c:pt>
                <c:pt idx="11">
                  <c:v>10.57906857278255</c:v>
                </c:pt>
                <c:pt idx="12">
                  <c:v>10.564622730980025</c:v>
                </c:pt>
                <c:pt idx="13">
                  <c:v>10.585372093961126</c:v>
                </c:pt>
                <c:pt idx="14">
                  <c:v>10.599331295030733</c:v>
                </c:pt>
                <c:pt idx="15">
                  <c:v>10.626565867245606</c:v>
                </c:pt>
                <c:pt idx="16">
                  <c:v>10.641146237499411</c:v>
                </c:pt>
                <c:pt idx="17">
                  <c:v>10.666543569560483</c:v>
                </c:pt>
                <c:pt idx="18">
                  <c:v>10.698015221281143</c:v>
                </c:pt>
                <c:pt idx="19">
                  <c:v>10.730196901864801</c:v>
                </c:pt>
                <c:pt idx="20">
                  <c:v>10.765544595881369</c:v>
                </c:pt>
                <c:pt idx="21">
                  <c:v>10.794379262052846</c:v>
                </c:pt>
                <c:pt idx="22">
                  <c:v>10.793979985064505</c:v>
                </c:pt>
                <c:pt idx="23">
                  <c:v>10.801519233879761</c:v>
                </c:pt>
                <c:pt idx="24">
                  <c:v>10.820502706651761</c:v>
                </c:pt>
                <c:pt idx="25">
                  <c:v>10.849049810682711</c:v>
                </c:pt>
                <c:pt idx="26">
                  <c:v>10.874071970075519</c:v>
                </c:pt>
                <c:pt idx="27">
                  <c:v>10.891877372144815</c:v>
                </c:pt>
                <c:pt idx="28">
                  <c:v>10.902272456919659</c:v>
                </c:pt>
                <c:pt idx="29">
                  <c:v>10.894034942583335</c:v>
                </c:pt>
                <c:pt idx="30">
                  <c:v>10.858925600547803</c:v>
                </c:pt>
                <c:pt idx="31">
                  <c:v>10.877357599531203</c:v>
                </c:pt>
                <c:pt idx="32">
                  <c:v>10.885469800056763</c:v>
                </c:pt>
                <c:pt idx="33">
                  <c:v>10.900684487809697</c:v>
                </c:pt>
                <c:pt idx="34">
                  <c:v>10.91200706824873</c:v>
                </c:pt>
                <c:pt idx="35">
                  <c:v>10.927293440528661</c:v>
                </c:pt>
                <c:pt idx="36">
                  <c:v>10.946635217707641</c:v>
                </c:pt>
                <c:pt idx="37">
                  <c:v>10.955925681011598</c:v>
                </c:pt>
                <c:pt idx="38">
                  <c:v>10.97177083676144</c:v>
                </c:pt>
                <c:pt idx="39">
                  <c:v>10.995534900061468</c:v>
                </c:pt>
                <c:pt idx="40">
                  <c:v>11.013666213726987</c:v>
                </c:pt>
                <c:pt idx="41">
                  <c:v>10.975985923717163</c:v>
                </c:pt>
              </c:numCache>
            </c:numRef>
          </c:xVal>
          <c:yVal>
            <c:numRef>
              <c:f>Data!$C$5:$AR$5</c:f>
              <c:numCache>
                <c:formatCode>0.00</c:formatCode>
                <c:ptCount val="42"/>
                <c:pt idx="0">
                  <c:v>35.299999999999997</c:v>
                </c:pt>
                <c:pt idx="1">
                  <c:v>35.200000000000003</c:v>
                </c:pt>
                <c:pt idx="2">
                  <c:v>36.1</c:v>
                </c:pt>
                <c:pt idx="3">
                  <c:v>37.299999999999997</c:v>
                </c:pt>
                <c:pt idx="4">
                  <c:v>37.9</c:v>
                </c:pt>
                <c:pt idx="5">
                  <c:v>38</c:v>
                </c:pt>
                <c:pt idx="6">
                  <c:v>38.200000000000003</c:v>
                </c:pt>
                <c:pt idx="7">
                  <c:v>38.200000000000003</c:v>
                </c:pt>
                <c:pt idx="8">
                  <c:v>37.200000000000003</c:v>
                </c:pt>
                <c:pt idx="9">
                  <c:v>37.700000000000003</c:v>
                </c:pt>
                <c:pt idx="10">
                  <c:v>38.200000000000003</c:v>
                </c:pt>
                <c:pt idx="11">
                  <c:v>38.299999999999997</c:v>
                </c:pt>
                <c:pt idx="12">
                  <c:v>38</c:v>
                </c:pt>
                <c:pt idx="13">
                  <c:v>38.4</c:v>
                </c:pt>
                <c:pt idx="14">
                  <c:v>40.4</c:v>
                </c:pt>
                <c:pt idx="15">
                  <c:v>40</c:v>
                </c:pt>
                <c:pt idx="16">
                  <c:v>39.9</c:v>
                </c:pt>
                <c:pt idx="17">
                  <c:v>40.299999999999997</c:v>
                </c:pt>
                <c:pt idx="18">
                  <c:v>40.5</c:v>
                </c:pt>
                <c:pt idx="19">
                  <c:v>40</c:v>
                </c:pt>
                <c:pt idx="20">
                  <c:v>40</c:v>
                </c:pt>
                <c:pt idx="21">
                  <c:v>40.1</c:v>
                </c:pt>
                <c:pt idx="22">
                  <c:v>40.6</c:v>
                </c:pt>
                <c:pt idx="23">
                  <c:v>40.4</c:v>
                </c:pt>
                <c:pt idx="24">
                  <c:v>40.799999999999997</c:v>
                </c:pt>
                <c:pt idx="25">
                  <c:v>40.299999999999997</c:v>
                </c:pt>
                <c:pt idx="26">
                  <c:v>41</c:v>
                </c:pt>
                <c:pt idx="27">
                  <c:v>41.4</c:v>
                </c:pt>
                <c:pt idx="28">
                  <c:v>40.799999999999997</c:v>
                </c:pt>
                <c:pt idx="29">
                  <c:v>40.799999999999997</c:v>
                </c:pt>
                <c:pt idx="30">
                  <c:v>40.6</c:v>
                </c:pt>
                <c:pt idx="31">
                  <c:v>40</c:v>
                </c:pt>
                <c:pt idx="32">
                  <c:v>40.9</c:v>
                </c:pt>
                <c:pt idx="33">
                  <c:v>40.9</c:v>
                </c:pt>
                <c:pt idx="34">
                  <c:v>40.700000000000003</c:v>
                </c:pt>
                <c:pt idx="35">
                  <c:v>41.5</c:v>
                </c:pt>
                <c:pt idx="36">
                  <c:v>41.2</c:v>
                </c:pt>
                <c:pt idx="37">
                  <c:v>41.1</c:v>
                </c:pt>
                <c:pt idx="38">
                  <c:v>41.2</c:v>
                </c:pt>
                <c:pt idx="39">
                  <c:v>41.4</c:v>
                </c:pt>
                <c:pt idx="40">
                  <c:v>41.5</c:v>
                </c:pt>
                <c:pt idx="41">
                  <c:v>39.700000000000003</c:v>
                </c:pt>
              </c:numCache>
            </c:numRef>
          </c:yVal>
          <c:smooth val="0"/>
          <c:extLst>
            <c:ext xmlns:c16="http://schemas.microsoft.com/office/drawing/2014/chart" uri="{C3380CC4-5D6E-409C-BE32-E72D297353CC}">
              <c16:uniqueId val="{00000000-A07F-491C-A7AC-1DF95A79C32D}"/>
            </c:ext>
          </c:extLst>
        </c:ser>
        <c:dLbls>
          <c:showLegendKey val="0"/>
          <c:showVal val="0"/>
          <c:showCatName val="0"/>
          <c:showSerName val="0"/>
          <c:showPercent val="0"/>
          <c:showBubbleSize val="0"/>
        </c:dLbls>
        <c:axId val="976267055"/>
        <c:axId val="976276175"/>
      </c:scatterChart>
      <c:valAx>
        <c:axId val="976267055"/>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sz="2000"/>
                  <a:t>Real</a:t>
                </a:r>
                <a:r>
                  <a:rPr lang="en-US" sz="2000" baseline="0"/>
                  <a:t> GDP per Capita (ln)</a:t>
                </a:r>
                <a:endParaRPr lang="en-US" sz="2000"/>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6276175"/>
        <c:crosses val="autoZero"/>
        <c:crossBetween val="midCat"/>
      </c:valAx>
      <c:valAx>
        <c:axId val="976276175"/>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sz="2000"/>
                  <a:t>Gini Index</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62670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Data!$B$17:$Z$17</c:f>
              <c:strCache>
                <c:ptCount val="25"/>
                <c:pt idx="0">
                  <c:v>Gini index</c:v>
                </c:pt>
                <c:pt idx="1">
                  <c:v>..</c:v>
                </c:pt>
                <c:pt idx="2">
                  <c:v>..</c:v>
                </c:pt>
                <c:pt idx="3">
                  <c:v>22.90</c:v>
                </c:pt>
                <c:pt idx="4">
                  <c:v>..</c:v>
                </c:pt>
                <c:pt idx="5">
                  <c:v>..</c:v>
                </c:pt>
                <c:pt idx="6">
                  <c:v>..</c:v>
                </c:pt>
                <c:pt idx="7">
                  <c:v>..</c:v>
                </c:pt>
                <c:pt idx="8">
                  <c:v>..</c:v>
                </c:pt>
                <c:pt idx="9">
                  <c:v>23.10</c:v>
                </c:pt>
                <c:pt idx="10">
                  <c:v>..</c:v>
                </c:pt>
                <c:pt idx="11">
                  <c:v>..</c:v>
                </c:pt>
                <c:pt idx="12">
                  <c:v>..</c:v>
                </c:pt>
                <c:pt idx="13">
                  <c:v>..</c:v>
                </c:pt>
                <c:pt idx="14">
                  <c:v>24.90</c:v>
                </c:pt>
                <c:pt idx="15">
                  <c:v>..</c:v>
                </c:pt>
                <c:pt idx="16">
                  <c:v>..</c:v>
                </c:pt>
                <c:pt idx="17">
                  <c:v>25.20</c:v>
                </c:pt>
                <c:pt idx="18">
                  <c:v>..</c:v>
                </c:pt>
                <c:pt idx="19">
                  <c:v>..</c:v>
                </c:pt>
                <c:pt idx="20">
                  <c:v>..</c:v>
                </c:pt>
                <c:pt idx="21">
                  <c:v>..</c:v>
                </c:pt>
                <c:pt idx="22">
                  <c:v>27.20</c:v>
                </c:pt>
                <c:pt idx="23">
                  <c:v>..</c:v>
                </c:pt>
                <c:pt idx="24">
                  <c:v>..</c:v>
                </c:pt>
              </c:strCache>
            </c:strRef>
          </c:tx>
          <c:spPr>
            <a:ln w="25400" cap="rnd">
              <a:noFill/>
            </a:ln>
            <a:effectLst>
              <a:outerShdw blurRad="50800" dist="50800" dir="5400000" sx="1000" sy="1000" algn="ctr" rotWithShape="0">
                <a:schemeClr val="accent4"/>
              </a:outerShdw>
            </a:effectLst>
          </c:spPr>
          <c:marker>
            <c:symbol val="circle"/>
            <c:size val="3"/>
            <c:spPr>
              <a:solidFill>
                <a:schemeClr val="accent4"/>
              </a:solidFill>
              <a:ln>
                <a:noFill/>
              </a:ln>
              <a:effectLst>
                <a:outerShdw blurRad="50800" dist="50800" dir="5400000" sx="1000" sy="1000" algn="ctr" rotWithShape="0">
                  <a:schemeClr val="accent4"/>
                </a:outerShdw>
              </a:effectLst>
            </c:spPr>
          </c:marker>
          <c:trendline>
            <c:spPr>
              <a:ln w="25400" cap="rnd">
                <a:solidFill>
                  <a:schemeClr val="accent4">
                    <a:alpha val="50000"/>
                  </a:schemeClr>
                </a:solidFill>
              </a:ln>
              <a:effectLst/>
            </c:spPr>
            <c:trendlineType val="linear"/>
            <c:dispRSqr val="0"/>
            <c:dispEq val="0"/>
          </c:trendline>
          <c:xVal>
            <c:numRef>
              <c:f>Data!$AA$16:$AR$16</c:f>
              <c:numCache>
                <c:formatCode>0.00</c:formatCode>
                <c:ptCount val="18"/>
                <c:pt idx="0">
                  <c:v>10.673478317528987</c:v>
                </c:pt>
                <c:pt idx="1">
                  <c:v>10.711999807982162</c:v>
                </c:pt>
                <c:pt idx="2">
                  <c:v>10.736187399800658</c:v>
                </c:pt>
                <c:pt idx="3">
                  <c:v>10.776135875930693</c:v>
                </c:pt>
                <c:pt idx="4">
                  <c:v>10.80253437579778</c:v>
                </c:pt>
                <c:pt idx="5">
                  <c:v>10.790228269548663</c:v>
                </c:pt>
                <c:pt idx="6">
                  <c:v>10.737341466949941</c:v>
                </c:pt>
                <c:pt idx="7">
                  <c:v>10.78663320600111</c:v>
                </c:pt>
                <c:pt idx="8">
                  <c:v>10.810535150109189</c:v>
                </c:pt>
                <c:pt idx="9">
                  <c:v>10.797237098409575</c:v>
                </c:pt>
                <c:pt idx="10">
                  <c:v>10.800571382135198</c:v>
                </c:pt>
                <c:pt idx="11">
                  <c:v>10.816880109000417</c:v>
                </c:pt>
                <c:pt idx="12">
                  <c:v>10.850219873764717</c:v>
                </c:pt>
                <c:pt idx="13">
                  <c:v>10.858149811537215</c:v>
                </c:pt>
                <c:pt idx="14">
                  <c:v>10.870030432352921</c:v>
                </c:pt>
                <c:pt idx="15">
                  <c:v>10.877726515872959</c:v>
                </c:pt>
                <c:pt idx="16">
                  <c:v>10.887256576805489</c:v>
                </c:pt>
                <c:pt idx="17">
                  <c:v>10.858088451081029</c:v>
                </c:pt>
              </c:numCache>
            </c:numRef>
          </c:xVal>
          <c:yVal>
            <c:numRef>
              <c:f>Data!$AA$17:$AR$17</c:f>
              <c:numCache>
                <c:formatCode>0.00</c:formatCode>
                <c:ptCount val="18"/>
                <c:pt idx="0">
                  <c:v>25.3</c:v>
                </c:pt>
                <c:pt idx="1">
                  <c:v>26.1</c:v>
                </c:pt>
                <c:pt idx="2">
                  <c:v>26.8</c:v>
                </c:pt>
                <c:pt idx="3">
                  <c:v>26.4</c:v>
                </c:pt>
                <c:pt idx="4">
                  <c:v>27.1</c:v>
                </c:pt>
                <c:pt idx="5">
                  <c:v>28.1</c:v>
                </c:pt>
                <c:pt idx="6">
                  <c:v>27.3</c:v>
                </c:pt>
                <c:pt idx="7">
                  <c:v>27.7</c:v>
                </c:pt>
                <c:pt idx="8">
                  <c:v>27.6</c:v>
                </c:pt>
                <c:pt idx="9">
                  <c:v>27.6</c:v>
                </c:pt>
                <c:pt idx="10">
                  <c:v>28.8</c:v>
                </c:pt>
                <c:pt idx="11">
                  <c:v>28.4</c:v>
                </c:pt>
                <c:pt idx="12">
                  <c:v>29.2</c:v>
                </c:pt>
                <c:pt idx="13">
                  <c:v>29.6</c:v>
                </c:pt>
                <c:pt idx="14">
                  <c:v>28.8</c:v>
                </c:pt>
                <c:pt idx="15">
                  <c:v>30</c:v>
                </c:pt>
                <c:pt idx="16">
                  <c:v>29.3</c:v>
                </c:pt>
                <c:pt idx="17">
                  <c:v>28.9</c:v>
                </c:pt>
              </c:numCache>
            </c:numRef>
          </c:yVal>
          <c:smooth val="0"/>
          <c:extLst>
            <c:ext xmlns:c16="http://schemas.microsoft.com/office/drawing/2014/chart" uri="{C3380CC4-5D6E-409C-BE32-E72D297353CC}">
              <c16:uniqueId val="{00000001-6538-4F8F-8730-247F6D7F3368}"/>
            </c:ext>
          </c:extLst>
        </c:ser>
        <c:dLbls>
          <c:showLegendKey val="0"/>
          <c:showVal val="0"/>
          <c:showCatName val="0"/>
          <c:showSerName val="0"/>
          <c:showPercent val="0"/>
          <c:showBubbleSize val="0"/>
        </c:dLbls>
        <c:axId val="1004450527"/>
        <c:axId val="976268975"/>
      </c:scatterChart>
      <c:valAx>
        <c:axId val="1004450527"/>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2000" b="1" i="0" u="none" strike="noStrike" kern="1200" baseline="0">
                    <a:solidFill>
                      <a:schemeClr val="lt1">
                        <a:lumMod val="75000"/>
                      </a:schemeClr>
                    </a:solidFill>
                    <a:latin typeface="+mn-lt"/>
                    <a:ea typeface="+mn-ea"/>
                    <a:cs typeface="+mn-cs"/>
                  </a:defRPr>
                </a:pPr>
                <a:r>
                  <a:rPr lang="en-US" sz="2000"/>
                  <a:t>Real GDP per Capita (ln) </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6268975"/>
        <c:crosses val="autoZero"/>
        <c:crossBetween val="midCat"/>
      </c:valAx>
      <c:valAx>
        <c:axId val="976268975"/>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sz="2000"/>
                  <a:t>Gini</a:t>
                </a:r>
                <a:r>
                  <a:rPr lang="en-US"/>
                  <a:t> </a:t>
                </a:r>
                <a:r>
                  <a:rPr lang="en-US" sz="2000"/>
                  <a:t>Index</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44505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Data!$B$9:$O$9</c:f>
              <c:strCache>
                <c:ptCount val="14"/>
                <c:pt idx="0">
                  <c:v>Gini index</c:v>
                </c:pt>
                <c:pt idx="1">
                  <c:v>..</c:v>
                </c:pt>
                <c:pt idx="2">
                  <c:v>..</c:v>
                </c:pt>
                <c:pt idx="3">
                  <c:v>57.90</c:v>
                </c:pt>
                <c:pt idx="4">
                  <c:v>58.40</c:v>
                </c:pt>
                <c:pt idx="5">
                  <c:v>59.00</c:v>
                </c:pt>
                <c:pt idx="6">
                  <c:v>58.40</c:v>
                </c:pt>
                <c:pt idx="7">
                  <c:v>55.60</c:v>
                </c:pt>
                <c:pt idx="8">
                  <c:v>58.50</c:v>
                </c:pt>
                <c:pt idx="9">
                  <c:v>59.70</c:v>
                </c:pt>
                <c:pt idx="10">
                  <c:v>61.40</c:v>
                </c:pt>
                <c:pt idx="11">
                  <c:v>63.30</c:v>
                </c:pt>
                <c:pt idx="12">
                  <c:v>60.50</c:v>
                </c:pt>
                <c:pt idx="13">
                  <c:v>..</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poly"/>
            <c:order val="2"/>
            <c:dispRSqr val="0"/>
            <c:dispEq val="0"/>
          </c:trendline>
          <c:xVal>
            <c:numRef>
              <c:f>Data!$P$8:$AR$8</c:f>
              <c:numCache>
                <c:formatCode>0.00</c:formatCode>
                <c:ptCount val="29"/>
                <c:pt idx="0">
                  <c:v>8.6846877242883753</c:v>
                </c:pt>
                <c:pt idx="1">
                  <c:v>8.7165987411275889</c:v>
                </c:pt>
                <c:pt idx="2">
                  <c:v>8.7575770992460082</c:v>
                </c:pt>
                <c:pt idx="3">
                  <c:v>8.7833236928451672</c:v>
                </c:pt>
                <c:pt idx="4">
                  <c:v>8.789867258573647</c:v>
                </c:pt>
                <c:pt idx="5">
                  <c:v>8.8082506736259898</c:v>
                </c:pt>
                <c:pt idx="6">
                  <c:v>8.7969425528932277</c:v>
                </c:pt>
                <c:pt idx="7">
                  <c:v>8.7874087914452037</c:v>
                </c:pt>
                <c:pt idx="8">
                  <c:v>8.8166851341975754</c:v>
                </c:pt>
                <c:pt idx="9">
                  <c:v>8.8172814458051469</c:v>
                </c:pt>
                <c:pt idx="10">
                  <c:v>8.8347307452016768</c:v>
                </c:pt>
                <c:pt idx="11">
                  <c:v>8.8342177569807419</c:v>
                </c:pt>
                <c:pt idx="12">
                  <c:v>8.8788256826030327</c:v>
                </c:pt>
                <c:pt idx="13">
                  <c:v>8.8991729801812269</c:v>
                </c:pt>
                <c:pt idx="14">
                  <c:v>8.9272545949052393</c:v>
                </c:pt>
                <c:pt idx="15">
                  <c:v>8.9758621702159118</c:v>
                </c:pt>
                <c:pt idx="16">
                  <c:v>9.0156761896956397</c:v>
                </c:pt>
                <c:pt idx="17">
                  <c:v>9.0048857989310136</c:v>
                </c:pt>
                <c:pt idx="18">
                  <c:v>9.0680748115717442</c:v>
                </c:pt>
                <c:pt idx="19">
                  <c:v>9.0977636662553252</c:v>
                </c:pt>
                <c:pt idx="20">
                  <c:v>9.1077897767403826</c:v>
                </c:pt>
                <c:pt idx="21">
                  <c:v>9.1287119384175774</c:v>
                </c:pt>
                <c:pt idx="22">
                  <c:v>9.1251604914661861</c:v>
                </c:pt>
                <c:pt idx="23">
                  <c:v>9.0805990432773562</c:v>
                </c:pt>
                <c:pt idx="24">
                  <c:v>9.0391787135152057</c:v>
                </c:pt>
                <c:pt idx="25">
                  <c:v>9.0443980350146731</c:v>
                </c:pt>
                <c:pt idx="26">
                  <c:v>9.0541398143472112</c:v>
                </c:pt>
                <c:pt idx="27">
                  <c:v>9.0586126005800409</c:v>
                </c:pt>
                <c:pt idx="28">
                  <c:v>9.012401829517005</c:v>
                </c:pt>
              </c:numCache>
            </c:numRef>
          </c:xVal>
          <c:yVal>
            <c:numRef>
              <c:f>Data!$P$9:$AR$9</c:f>
              <c:numCache>
                <c:formatCode>0.00</c:formatCode>
                <c:ptCount val="29"/>
                <c:pt idx="0">
                  <c:v>53.2</c:v>
                </c:pt>
                <c:pt idx="1">
                  <c:v>60.1</c:v>
                </c:pt>
                <c:pt idx="2">
                  <c:v>59.7</c:v>
                </c:pt>
                <c:pt idx="3">
                  <c:v>59.6</c:v>
                </c:pt>
                <c:pt idx="4">
                  <c:v>59.9</c:v>
                </c:pt>
                <c:pt idx="5">
                  <c:v>59.8</c:v>
                </c:pt>
                <c:pt idx="6">
                  <c:v>59.6</c:v>
                </c:pt>
                <c:pt idx="7">
                  <c:v>59</c:v>
                </c:pt>
                <c:pt idx="8">
                  <c:v>58.8</c:v>
                </c:pt>
                <c:pt idx="9">
                  <c:v>58.4</c:v>
                </c:pt>
                <c:pt idx="10">
                  <c:v>58.1</c:v>
                </c:pt>
                <c:pt idx="11">
                  <c:v>57.6</c:v>
                </c:pt>
                <c:pt idx="12">
                  <c:v>56.5</c:v>
                </c:pt>
                <c:pt idx="13">
                  <c:v>56.3</c:v>
                </c:pt>
                <c:pt idx="14">
                  <c:v>55.6</c:v>
                </c:pt>
                <c:pt idx="15">
                  <c:v>54.9</c:v>
                </c:pt>
                <c:pt idx="16">
                  <c:v>54</c:v>
                </c:pt>
                <c:pt idx="17">
                  <c:v>53.7</c:v>
                </c:pt>
                <c:pt idx="18">
                  <c:v>53.2</c:v>
                </c:pt>
                <c:pt idx="19">
                  <c:v>52.9</c:v>
                </c:pt>
                <c:pt idx="20">
                  <c:v>53.4</c:v>
                </c:pt>
                <c:pt idx="21">
                  <c:v>52.7</c:v>
                </c:pt>
                <c:pt idx="22">
                  <c:v>52</c:v>
                </c:pt>
                <c:pt idx="23">
                  <c:v>51.9</c:v>
                </c:pt>
                <c:pt idx="24">
                  <c:v>53.3</c:v>
                </c:pt>
                <c:pt idx="25">
                  <c:v>53.3</c:v>
                </c:pt>
                <c:pt idx="26">
                  <c:v>53.9</c:v>
                </c:pt>
                <c:pt idx="27">
                  <c:v>53.5</c:v>
                </c:pt>
                <c:pt idx="28">
                  <c:v>48.9</c:v>
                </c:pt>
              </c:numCache>
            </c:numRef>
          </c:yVal>
          <c:smooth val="0"/>
          <c:extLst>
            <c:ext xmlns:c16="http://schemas.microsoft.com/office/drawing/2014/chart" uri="{C3380CC4-5D6E-409C-BE32-E72D297353CC}">
              <c16:uniqueId val="{00000001-153B-426A-BAD0-2BD4EFA879A3}"/>
            </c:ext>
          </c:extLst>
        </c:ser>
        <c:dLbls>
          <c:showLegendKey val="0"/>
          <c:showVal val="0"/>
          <c:showCatName val="0"/>
          <c:showSerName val="0"/>
          <c:showPercent val="0"/>
          <c:showBubbleSize val="0"/>
        </c:dLbls>
        <c:axId val="976273775"/>
        <c:axId val="976270895"/>
      </c:scatterChart>
      <c:valAx>
        <c:axId val="976273775"/>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2000" b="1" i="0" u="none" strike="noStrike" kern="1200" baseline="0">
                    <a:solidFill>
                      <a:schemeClr val="lt1">
                        <a:lumMod val="75000"/>
                      </a:schemeClr>
                    </a:solidFill>
                    <a:latin typeface="+mn-lt"/>
                    <a:ea typeface="+mn-ea"/>
                    <a:cs typeface="+mn-cs"/>
                  </a:defRPr>
                </a:pPr>
                <a:r>
                  <a:rPr lang="en-US" sz="2000"/>
                  <a:t>Real GDP per Capita (ln)</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6270895"/>
        <c:crosses val="autoZero"/>
        <c:crossBetween val="midCat"/>
      </c:valAx>
      <c:valAx>
        <c:axId val="976270895"/>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lt1">
                        <a:lumMod val="75000"/>
                      </a:schemeClr>
                    </a:solidFill>
                    <a:latin typeface="+mn-lt"/>
                    <a:ea typeface="+mn-ea"/>
                    <a:cs typeface="+mn-cs"/>
                  </a:defRPr>
                </a:pPr>
                <a:r>
                  <a:rPr lang="en-US" sz="2000"/>
                  <a:t>Gini Coefficient</a:t>
                </a:r>
              </a:p>
            </c:rich>
          </c:tx>
          <c:overlay val="0"/>
          <c:spPr>
            <a:noFill/>
            <a:ln>
              <a:noFill/>
            </a:ln>
            <a:effectLst/>
          </c:spPr>
          <c:txPr>
            <a:bodyPr rot="-5400000" spcFirstLastPara="1" vertOverflow="ellipsis" vert="horz" wrap="square" anchor="ctr" anchorCtr="1"/>
            <a:lstStyle/>
            <a:p>
              <a:pPr>
                <a:defRPr sz="20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6273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Data!$B$13:$AE$13</c:f>
              <c:strCache>
                <c:ptCount val="30"/>
                <c:pt idx="0">
                  <c:v>Gini index</c:v>
                </c:pt>
                <c:pt idx="1">
                  <c:v>..</c:v>
                </c:pt>
                <c:pt idx="2">
                  <c:v>..</c:v>
                </c:pt>
                <c:pt idx="3">
                  <c:v>..</c:v>
                </c:pt>
                <c:pt idx="4">
                  <c:v>..</c:v>
                </c:pt>
                <c:pt idx="5">
                  <c:v>..</c:v>
                </c:pt>
                <c:pt idx="6">
                  <c:v>..</c:v>
                </c:pt>
                <c:pt idx="7">
                  <c:v>..</c:v>
                </c:pt>
                <c:pt idx="8">
                  <c:v>..</c:v>
                </c:pt>
                <c:pt idx="9">
                  <c:v>..</c:v>
                </c:pt>
                <c:pt idx="10">
                  <c:v>..</c:v>
                </c:pt>
                <c:pt idx="11">
                  <c:v>..</c:v>
                </c:pt>
                <c:pt idx="12">
                  <c:v>32.20</c:v>
                </c:pt>
                <c:pt idx="13">
                  <c:v>..</c:v>
                </c:pt>
                <c:pt idx="14">
                  <c:v>..</c:v>
                </c:pt>
                <c:pt idx="15">
                  <c:v>33.90</c:v>
                </c:pt>
                <c:pt idx="16">
                  <c:v>..</c:v>
                </c:pt>
                <c:pt idx="17">
                  <c:v>..</c:v>
                </c:pt>
                <c:pt idx="18">
                  <c:v>35.20</c:v>
                </c:pt>
                <c:pt idx="19">
                  <c:v>..</c:v>
                </c:pt>
                <c:pt idx="20">
                  <c:v>..</c:v>
                </c:pt>
                <c:pt idx="21">
                  <c:v>38.70</c:v>
                </c:pt>
                <c:pt idx="22">
                  <c:v>..</c:v>
                </c:pt>
                <c:pt idx="23">
                  <c:v>..</c:v>
                </c:pt>
                <c:pt idx="24">
                  <c:v>42.00</c:v>
                </c:pt>
                <c:pt idx="25">
                  <c:v>..</c:v>
                </c:pt>
                <c:pt idx="26">
                  <c:v>..</c:v>
                </c:pt>
                <c:pt idx="27">
                  <c:v>40.90</c:v>
                </c:pt>
                <c:pt idx="28">
                  <c:v>..</c:v>
                </c:pt>
                <c:pt idx="29">
                  <c:v>..</c:v>
                </c:pt>
              </c:strCache>
            </c:strRef>
          </c:tx>
          <c:spPr>
            <a:ln w="25400" cap="rnd">
              <a:noFill/>
            </a:ln>
            <a:effectLst>
              <a:outerShdw blurRad="50800" dist="50800" dir="5400000" sx="27000" sy="27000" algn="ctr" rotWithShape="0">
                <a:srgbClr val="FFC000"/>
              </a:outerShdw>
            </a:effectLst>
          </c:spPr>
          <c:marker>
            <c:symbol val="circle"/>
            <c:size val="3"/>
            <c:spPr>
              <a:solidFill>
                <a:srgbClr val="FFC000"/>
              </a:solidFill>
              <a:ln>
                <a:noFill/>
              </a:ln>
              <a:effectLst>
                <a:outerShdw blurRad="50800" dist="50800" dir="5400000" sx="27000" sy="27000" algn="ctr" rotWithShape="0">
                  <a:srgbClr val="FFC000"/>
                </a:outerShdw>
              </a:effectLst>
            </c:spPr>
          </c:marker>
          <c:trendline>
            <c:spPr>
              <a:ln w="25400" cap="rnd">
                <a:solidFill>
                  <a:srgbClr val="FFC000">
                    <a:alpha val="50000"/>
                  </a:srgbClr>
                </a:solidFill>
              </a:ln>
              <a:effectLst/>
            </c:spPr>
            <c:trendlineType val="poly"/>
            <c:order val="2"/>
            <c:dispRSqr val="0"/>
            <c:dispEq val="0"/>
          </c:trendline>
          <c:xVal>
            <c:numRef>
              <c:f>Data!$AF$12:$AR$12</c:f>
              <c:numCache>
                <c:formatCode>0.00</c:formatCode>
                <c:ptCount val="13"/>
                <c:pt idx="0">
                  <c:v>8.4577902874345163</c:v>
                </c:pt>
                <c:pt idx="1">
                  <c:v>8.5426455286609269</c:v>
                </c:pt>
                <c:pt idx="2">
                  <c:v>8.6388901137960037</c:v>
                </c:pt>
                <c:pt idx="3">
                  <c:v>8.7246440142100656</c:v>
                </c:pt>
                <c:pt idx="4">
                  <c:v>8.7935591045951806</c:v>
                </c:pt>
                <c:pt idx="5">
                  <c:v>8.8616917914792239</c:v>
                </c:pt>
                <c:pt idx="6">
                  <c:v>8.9270183799708693</c:v>
                </c:pt>
                <c:pt idx="7">
                  <c:v>8.989248643605789</c:v>
                </c:pt>
                <c:pt idx="8">
                  <c:v>9.0497623458370757</c:v>
                </c:pt>
                <c:pt idx="9">
                  <c:v>9.1108749718594382</c:v>
                </c:pt>
                <c:pt idx="10">
                  <c:v>9.1715155987785018</c:v>
                </c:pt>
                <c:pt idx="11">
                  <c:v>9.2257700149125075</c:v>
                </c:pt>
                <c:pt idx="12">
                  <c:v>9.2455394947371818</c:v>
                </c:pt>
              </c:numCache>
            </c:numRef>
          </c:xVal>
          <c:yVal>
            <c:numRef>
              <c:f>Data!$AF$13:$AR$13</c:f>
              <c:numCache>
                <c:formatCode>0.00</c:formatCode>
                <c:ptCount val="13"/>
                <c:pt idx="0">
                  <c:v>43</c:v>
                </c:pt>
                <c:pt idx="1">
                  <c:v>43.35</c:v>
                </c:pt>
                <c:pt idx="2">
                  <c:v>43.7</c:v>
                </c:pt>
                <c:pt idx="3">
                  <c:v>42.4</c:v>
                </c:pt>
                <c:pt idx="4">
                  <c:v>42.2</c:v>
                </c:pt>
                <c:pt idx="5">
                  <c:v>39.700000000000003</c:v>
                </c:pt>
                <c:pt idx="6">
                  <c:v>39.200000000000003</c:v>
                </c:pt>
                <c:pt idx="7">
                  <c:v>38.6</c:v>
                </c:pt>
                <c:pt idx="8">
                  <c:v>38.5</c:v>
                </c:pt>
                <c:pt idx="9">
                  <c:v>39.1</c:v>
                </c:pt>
                <c:pt idx="10">
                  <c:v>38.5</c:v>
                </c:pt>
                <c:pt idx="11">
                  <c:v>38.200000000000003</c:v>
                </c:pt>
                <c:pt idx="12">
                  <c:v>38.200000000000003</c:v>
                </c:pt>
              </c:numCache>
            </c:numRef>
          </c:yVal>
          <c:smooth val="0"/>
          <c:extLst>
            <c:ext xmlns:c16="http://schemas.microsoft.com/office/drawing/2014/chart" uri="{C3380CC4-5D6E-409C-BE32-E72D297353CC}">
              <c16:uniqueId val="{00000001-8B5E-4B03-95C9-BF72FCCD5998}"/>
            </c:ext>
          </c:extLst>
        </c:ser>
        <c:dLbls>
          <c:showLegendKey val="0"/>
          <c:showVal val="0"/>
          <c:showCatName val="0"/>
          <c:showSerName val="0"/>
          <c:showPercent val="0"/>
          <c:showBubbleSize val="0"/>
        </c:dLbls>
        <c:axId val="864659391"/>
        <c:axId val="864655071"/>
      </c:scatterChart>
      <c:valAx>
        <c:axId val="864659391"/>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2000" b="1" i="0" u="none" strike="noStrike" kern="1200" baseline="0">
                    <a:solidFill>
                      <a:schemeClr val="lt1">
                        <a:lumMod val="75000"/>
                      </a:schemeClr>
                    </a:solidFill>
                    <a:latin typeface="+mn-lt"/>
                    <a:ea typeface="+mn-ea"/>
                    <a:cs typeface="+mn-cs"/>
                  </a:defRPr>
                </a:pPr>
                <a:r>
                  <a:rPr lang="en-US" sz="2000"/>
                  <a:t>Real GDP per Capita (ln)</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4655071"/>
        <c:crosses val="autoZero"/>
        <c:crossBetween val="midCat"/>
      </c:valAx>
      <c:valAx>
        <c:axId val="864655071"/>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lt1">
                        <a:lumMod val="75000"/>
                      </a:schemeClr>
                    </a:solidFill>
                    <a:latin typeface="+mn-lt"/>
                    <a:ea typeface="+mn-ea"/>
                    <a:cs typeface="+mn-cs"/>
                  </a:defRPr>
                </a:pPr>
                <a:r>
                  <a:rPr lang="en-US" sz="2000"/>
                  <a:t>Gini Index</a:t>
                </a:r>
              </a:p>
            </c:rich>
          </c:tx>
          <c:overlay val="0"/>
          <c:spPr>
            <a:noFill/>
            <a:ln>
              <a:noFill/>
            </a:ln>
            <a:effectLst/>
          </c:spPr>
          <c:txPr>
            <a:bodyPr rot="-5400000" spcFirstLastPara="1" vertOverflow="ellipsis" vert="horz" wrap="square" anchor="ctr" anchorCtr="1"/>
            <a:lstStyle/>
            <a:p>
              <a:pPr>
                <a:defRPr sz="20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46593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844CDDA-95D1-4EB3-9CE2-8B0E38CCF2DA}">
  <sheetPr/>
  <sheetViews>
    <sheetView zoomScale="117"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54F5FA7-57B4-44E4-B421-CA72DC3E46BD}">
  <sheetPr/>
  <sheetViews>
    <sheetView zoomScale="117"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962D32D-A00B-45F2-BC56-68D26E7F0C7E}">
  <sheetPr/>
  <sheetViews>
    <sheetView zoomScale="117"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29BAF82-A430-4B4D-8C8C-19265A2A045F}">
  <sheetPr/>
  <sheetViews>
    <sheetView zoomScale="11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8670192" cy="6293013"/>
    <xdr:graphicFrame macro="">
      <xdr:nvGraphicFramePr>
        <xdr:cNvPr id="2" name="Chart 1">
          <a:extLst>
            <a:ext uri="{FF2B5EF4-FFF2-40B4-BE49-F238E27FC236}">
              <a16:creationId xmlns:a16="http://schemas.microsoft.com/office/drawing/2014/main" id="{6C524A3E-1D0F-1965-0FCE-07F3140436B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70192" cy="6293013"/>
    <xdr:graphicFrame macro="">
      <xdr:nvGraphicFramePr>
        <xdr:cNvPr id="2" name="Chart 1">
          <a:extLst>
            <a:ext uri="{FF2B5EF4-FFF2-40B4-BE49-F238E27FC236}">
              <a16:creationId xmlns:a16="http://schemas.microsoft.com/office/drawing/2014/main" id="{B726EDE9-1F1B-415D-E4CB-FAE55A61AF3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70192" cy="6293013"/>
    <xdr:graphicFrame macro="">
      <xdr:nvGraphicFramePr>
        <xdr:cNvPr id="2" name="Chart 1">
          <a:extLst>
            <a:ext uri="{FF2B5EF4-FFF2-40B4-BE49-F238E27FC236}">
              <a16:creationId xmlns:a16="http://schemas.microsoft.com/office/drawing/2014/main" id="{74E747A8-2805-611F-22FE-2ED129992CB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670192" cy="6293013"/>
    <xdr:graphicFrame macro="">
      <xdr:nvGraphicFramePr>
        <xdr:cNvPr id="2" name="Chart 1">
          <a:extLst>
            <a:ext uri="{FF2B5EF4-FFF2-40B4-BE49-F238E27FC236}">
              <a16:creationId xmlns:a16="http://schemas.microsoft.com/office/drawing/2014/main" id="{3AD187B5-3D4C-4957-633D-6F628B46743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29"/>
  <sheetViews>
    <sheetView tabSelected="1" workbookViewId="0">
      <selection activeCell="C34" sqref="C34"/>
    </sheetView>
  </sheetViews>
  <sheetFormatPr defaultRowHeight="15" x14ac:dyDescent="0.25"/>
  <cols>
    <col min="1" max="1" width="47.5703125" bestFit="1" customWidth="1"/>
    <col min="2" max="2" width="79.85546875" bestFit="1" customWidth="1"/>
    <col min="3" max="15" width="16.7109375" bestFit="1" customWidth="1"/>
    <col min="16" max="44" width="17.85546875" bestFit="1" customWidth="1"/>
    <col min="45" max="45" width="13.140625" bestFit="1" customWidth="1"/>
  </cols>
  <sheetData>
    <row r="1" spans="1:53" x14ac:dyDescent="0.25">
      <c r="A1" t="s">
        <v>90</v>
      </c>
      <c r="B1" t="s">
        <v>89</v>
      </c>
      <c r="C1">
        <v>1979</v>
      </c>
      <c r="D1">
        <v>1980</v>
      </c>
      <c r="E1">
        <v>1981</v>
      </c>
      <c r="F1">
        <v>1982</v>
      </c>
      <c r="G1">
        <v>1983</v>
      </c>
      <c r="H1">
        <v>1984</v>
      </c>
      <c r="I1">
        <v>1985</v>
      </c>
      <c r="J1">
        <v>1986</v>
      </c>
      <c r="K1">
        <v>1987</v>
      </c>
      <c r="L1">
        <v>1988</v>
      </c>
      <c r="M1">
        <v>1989</v>
      </c>
      <c r="N1">
        <v>1990</v>
      </c>
      <c r="O1">
        <v>1991</v>
      </c>
      <c r="P1">
        <v>1992</v>
      </c>
      <c r="Q1">
        <v>1993</v>
      </c>
      <c r="R1">
        <v>1994</v>
      </c>
      <c r="S1">
        <v>1995</v>
      </c>
      <c r="T1">
        <v>1996</v>
      </c>
      <c r="U1">
        <v>1997</v>
      </c>
      <c r="V1">
        <v>1998</v>
      </c>
      <c r="W1">
        <v>1999</v>
      </c>
      <c r="X1">
        <v>2000</v>
      </c>
      <c r="Y1">
        <v>2001</v>
      </c>
      <c r="Z1">
        <v>2002</v>
      </c>
      <c r="AA1">
        <v>2003</v>
      </c>
      <c r="AB1">
        <v>2004</v>
      </c>
      <c r="AC1">
        <v>2005</v>
      </c>
      <c r="AD1">
        <v>2006</v>
      </c>
      <c r="AE1">
        <v>2007</v>
      </c>
      <c r="AF1">
        <v>2008</v>
      </c>
      <c r="AG1">
        <v>2009</v>
      </c>
      <c r="AH1">
        <v>2010</v>
      </c>
      <c r="AI1">
        <v>2011</v>
      </c>
      <c r="AJ1">
        <v>2012</v>
      </c>
      <c r="AK1">
        <v>2013</v>
      </c>
      <c r="AL1">
        <v>2014</v>
      </c>
      <c r="AM1">
        <v>2015</v>
      </c>
      <c r="AN1">
        <v>2016</v>
      </c>
      <c r="AO1">
        <v>2017</v>
      </c>
      <c r="AP1">
        <v>2018</v>
      </c>
      <c r="AQ1">
        <v>2019</v>
      </c>
      <c r="AR1">
        <v>2020</v>
      </c>
    </row>
    <row r="2" spans="1:53" hidden="1" x14ac:dyDescent="0.25">
      <c r="A2" t="s">
        <v>55</v>
      </c>
      <c r="B2" t="s">
        <v>5</v>
      </c>
      <c r="C2" s="2">
        <v>7098996359000.0039</v>
      </c>
      <c r="D2" s="2">
        <v>7080769709000.0039</v>
      </c>
      <c r="E2" s="2">
        <v>7260459769000.0039</v>
      </c>
      <c r="F2" s="2">
        <v>7129561854000.0039</v>
      </c>
      <c r="G2" s="2">
        <v>7456374792000.0039</v>
      </c>
      <c r="H2" s="2">
        <v>7995965282000.0039</v>
      </c>
      <c r="I2" s="2">
        <v>8329369546000.0039</v>
      </c>
      <c r="J2" s="2">
        <v>8617786125000.0049</v>
      </c>
      <c r="K2" s="2">
        <v>8915897063000.0039</v>
      </c>
      <c r="L2" s="2">
        <v>9288319548000.0039</v>
      </c>
      <c r="M2" s="2">
        <v>9629446844000.0039</v>
      </c>
      <c r="N2" s="2">
        <v>9811054837000.0039</v>
      </c>
      <c r="O2" s="2">
        <v>9800432919000.0039</v>
      </c>
      <c r="P2" s="2">
        <v>10145647340000.004</v>
      </c>
      <c r="Q2" s="2">
        <v>10424833341000.004</v>
      </c>
      <c r="R2" s="2">
        <v>10844828324000.004</v>
      </c>
      <c r="S2" s="2">
        <v>11135927079000.004</v>
      </c>
      <c r="T2" s="2">
        <v>11556037222000.004</v>
      </c>
      <c r="U2" s="2">
        <v>12069954414000.004</v>
      </c>
      <c r="V2" s="2">
        <v>12610856679000.004</v>
      </c>
      <c r="W2" s="2">
        <v>13215484082000.004</v>
      </c>
      <c r="X2" s="2">
        <v>13754300444000.004</v>
      </c>
      <c r="Y2" s="2">
        <v>13885563060000.004</v>
      </c>
      <c r="Z2" s="2">
        <v>14121054284000.002</v>
      </c>
      <c r="AA2" s="2">
        <v>14515908489000.002</v>
      </c>
      <c r="AB2" s="2">
        <v>15075141499000.002</v>
      </c>
      <c r="AC2" s="2">
        <v>15600241891000</v>
      </c>
      <c r="AD2" s="2">
        <v>16034367080000</v>
      </c>
      <c r="AE2" s="2">
        <v>16356739241000</v>
      </c>
      <c r="AF2" s="2">
        <v>16376725286000</v>
      </c>
      <c r="AG2" s="2">
        <v>15950948713000</v>
      </c>
      <c r="AH2" s="2">
        <v>16383037055000</v>
      </c>
      <c r="AI2" s="2">
        <v>16636956919000</v>
      </c>
      <c r="AJ2" s="2">
        <v>17016393933000</v>
      </c>
      <c r="AK2" s="2">
        <v>17329814706000</v>
      </c>
      <c r="AL2" s="2">
        <v>17726282036000</v>
      </c>
      <c r="AM2" s="2">
        <v>18206020741000</v>
      </c>
      <c r="AN2" s="2">
        <v>18509601053000</v>
      </c>
      <c r="AO2" s="2">
        <v>18924571726000</v>
      </c>
      <c r="AP2" s="2">
        <v>19481973191000</v>
      </c>
      <c r="AQ2" s="2">
        <v>19928975197000</v>
      </c>
      <c r="AR2" s="2">
        <v>19377380521000</v>
      </c>
      <c r="AS2" s="2"/>
      <c r="AT2" s="2"/>
      <c r="AU2" s="2"/>
      <c r="AV2" s="2"/>
      <c r="AW2" s="2"/>
      <c r="AX2" s="2"/>
      <c r="AY2" s="2"/>
      <c r="AZ2" s="2"/>
      <c r="BA2" s="2"/>
    </row>
    <row r="3" spans="1:53" x14ac:dyDescent="0.25">
      <c r="A3" t="s">
        <v>55</v>
      </c>
      <c r="B3" t="s">
        <v>69</v>
      </c>
      <c r="C3" s="2">
        <v>31543.384323831968</v>
      </c>
      <c r="D3" s="2">
        <v>31161.93072505228</v>
      </c>
      <c r="E3" s="2">
        <v>31640.677786687371</v>
      </c>
      <c r="F3" s="2">
        <v>30775.441389253418</v>
      </c>
      <c r="G3" s="2">
        <v>31893.199048727089</v>
      </c>
      <c r="H3" s="2">
        <v>33906.351243506855</v>
      </c>
      <c r="I3" s="2">
        <v>35008.530228140095</v>
      </c>
      <c r="J3" s="2">
        <v>35887.554501047358</v>
      </c>
      <c r="K3" s="2">
        <v>36798.604406308186</v>
      </c>
      <c r="L3" s="2">
        <v>37989.19238115495</v>
      </c>
      <c r="M3" s="2">
        <v>39014.204109083999</v>
      </c>
      <c r="N3" s="2">
        <v>39303.48900942623</v>
      </c>
      <c r="O3" s="2">
        <v>38739.798320822527</v>
      </c>
      <c r="P3" s="2">
        <v>39552.021877948195</v>
      </c>
      <c r="Q3" s="2">
        <v>40108.008037119274</v>
      </c>
      <c r="R3" s="2">
        <v>41215.342930763225</v>
      </c>
      <c r="S3" s="2">
        <v>41820.680187623475</v>
      </c>
      <c r="T3" s="2">
        <v>42896.41648292094</v>
      </c>
      <c r="U3" s="2">
        <v>44267.905881748877</v>
      </c>
      <c r="V3" s="2">
        <v>45715.692645384894</v>
      </c>
      <c r="W3" s="2">
        <v>47360.536417717907</v>
      </c>
      <c r="X3" s="2">
        <v>48746.040960076723</v>
      </c>
      <c r="Y3" s="2">
        <v>48726.581672729946</v>
      </c>
      <c r="Z3" s="2">
        <v>49095.331798699575</v>
      </c>
      <c r="AA3" s="2">
        <v>50036.234234932148</v>
      </c>
      <c r="AB3" s="2">
        <v>51485.20741246971</v>
      </c>
      <c r="AC3" s="2">
        <v>52789.731418775569</v>
      </c>
      <c r="AD3" s="2">
        <v>53738.091725156082</v>
      </c>
      <c r="AE3" s="2">
        <v>54299.6172405205</v>
      </c>
      <c r="AF3" s="2">
        <v>53854.160611657782</v>
      </c>
      <c r="AG3" s="2">
        <v>51996.183495242156</v>
      </c>
      <c r="AH3" s="2">
        <v>52963.464169712388</v>
      </c>
      <c r="AI3" s="2">
        <v>53394.861838006102</v>
      </c>
      <c r="AJ3" s="2">
        <v>54213.459551638945</v>
      </c>
      <c r="AK3" s="2">
        <v>54830.78406641636</v>
      </c>
      <c r="AL3" s="2">
        <v>55675.38685368617</v>
      </c>
      <c r="AM3" s="2">
        <v>56762.729451598891</v>
      </c>
      <c r="AN3" s="2">
        <v>57292.538782909076</v>
      </c>
      <c r="AO3" s="2">
        <v>58207.578310388024</v>
      </c>
      <c r="AP3" s="2">
        <v>59607.393660249611</v>
      </c>
      <c r="AQ3" s="2">
        <v>60698.011299017853</v>
      </c>
      <c r="AR3" s="2">
        <v>58453.446127535994</v>
      </c>
      <c r="AS3" s="2"/>
      <c r="AT3" s="2"/>
      <c r="AU3" s="2"/>
      <c r="AV3" s="2"/>
      <c r="AW3" s="2"/>
      <c r="AX3" s="2"/>
      <c r="AY3" s="2"/>
      <c r="AZ3" s="2"/>
      <c r="BA3" s="2"/>
    </row>
    <row r="4" spans="1:53" x14ac:dyDescent="0.25">
      <c r="A4" t="s">
        <v>55</v>
      </c>
      <c r="B4" t="s">
        <v>87</v>
      </c>
      <c r="C4" s="2">
        <f>LN(C3)</f>
        <v>10.359119157355064</v>
      </c>
      <c r="D4" s="2">
        <f>LN(D3)</f>
        <v>10.34695245971637</v>
      </c>
      <c r="E4" s="2">
        <f>LN(E3)</f>
        <v>10.362198843481709</v>
      </c>
      <c r="F4" s="2">
        <f t="shared" ref="F4:X4" si="0">LN(F3)</f>
        <v>10.334472293411327</v>
      </c>
      <c r="G4" s="2">
        <f t="shared" si="0"/>
        <v>10.370148070078777</v>
      </c>
      <c r="H4" s="2">
        <f t="shared" si="0"/>
        <v>10.431357628136125</v>
      </c>
      <c r="I4" s="2">
        <f t="shared" si="0"/>
        <v>10.463347031580463</v>
      </c>
      <c r="J4" s="2">
        <f t="shared" si="0"/>
        <v>10.488145843091973</v>
      </c>
      <c r="K4" s="2">
        <f t="shared" si="0"/>
        <v>10.513215199696274</v>
      </c>
      <c r="L4" s="2">
        <f t="shared" si="0"/>
        <v>10.545056987233799</v>
      </c>
      <c r="M4" s="2">
        <f t="shared" si="0"/>
        <v>10.571681066729408</v>
      </c>
      <c r="N4" s="2">
        <f t="shared" si="0"/>
        <v>10.57906857278255</v>
      </c>
      <c r="O4" s="2">
        <f t="shared" si="0"/>
        <v>10.564622730980025</v>
      </c>
      <c r="P4" s="2">
        <f t="shared" si="0"/>
        <v>10.585372093961126</v>
      </c>
      <c r="Q4" s="2">
        <f t="shared" si="0"/>
        <v>10.599331295030733</v>
      </c>
      <c r="R4" s="2">
        <f t="shared" si="0"/>
        <v>10.626565867245606</v>
      </c>
      <c r="S4" s="2">
        <f t="shared" si="0"/>
        <v>10.641146237499411</v>
      </c>
      <c r="T4" s="2">
        <f t="shared" si="0"/>
        <v>10.666543569560483</v>
      </c>
      <c r="U4" s="2">
        <f t="shared" si="0"/>
        <v>10.698015221281143</v>
      </c>
      <c r="V4" s="2">
        <f t="shared" si="0"/>
        <v>10.730196901864801</v>
      </c>
      <c r="W4" s="2">
        <f t="shared" si="0"/>
        <v>10.765544595881369</v>
      </c>
      <c r="X4" s="2">
        <f t="shared" si="0"/>
        <v>10.794379262052846</v>
      </c>
      <c r="Y4" s="2">
        <f t="shared" ref="Y4" si="1">LN(Y3)</f>
        <v>10.793979985064505</v>
      </c>
      <c r="Z4" s="2">
        <f t="shared" ref="Z4" si="2">LN(Z3)</f>
        <v>10.801519233879761</v>
      </c>
      <c r="AA4" s="2">
        <f t="shared" ref="AA4" si="3">LN(AA3)</f>
        <v>10.820502706651761</v>
      </c>
      <c r="AB4" s="2">
        <f t="shared" ref="AB4" si="4">LN(AB3)</f>
        <v>10.849049810682711</v>
      </c>
      <c r="AC4" s="2">
        <f t="shared" ref="AC4" si="5">LN(AC3)</f>
        <v>10.874071970075519</v>
      </c>
      <c r="AD4" s="2">
        <f t="shared" ref="AD4" si="6">LN(AD3)</f>
        <v>10.891877372144815</v>
      </c>
      <c r="AE4" s="2">
        <f t="shared" ref="AE4" si="7">LN(AE3)</f>
        <v>10.902272456919659</v>
      </c>
      <c r="AF4" s="2">
        <f t="shared" ref="AF4" si="8">LN(AF3)</f>
        <v>10.894034942583335</v>
      </c>
      <c r="AG4" s="2">
        <f t="shared" ref="AG4" si="9">LN(AG3)</f>
        <v>10.858925600547803</v>
      </c>
      <c r="AH4" s="2">
        <f t="shared" ref="AH4" si="10">LN(AH3)</f>
        <v>10.877357599531203</v>
      </c>
      <c r="AI4" s="2">
        <f t="shared" ref="AI4" si="11">LN(AI3)</f>
        <v>10.885469800056763</v>
      </c>
      <c r="AJ4" s="2">
        <f t="shared" ref="AJ4" si="12">LN(AJ3)</f>
        <v>10.900684487809697</v>
      </c>
      <c r="AK4" s="2">
        <f t="shared" ref="AK4" si="13">LN(AK3)</f>
        <v>10.91200706824873</v>
      </c>
      <c r="AL4" s="2">
        <f t="shared" ref="AL4" si="14">LN(AL3)</f>
        <v>10.927293440528661</v>
      </c>
      <c r="AM4" s="2">
        <f t="shared" ref="AM4" si="15">LN(AM3)</f>
        <v>10.946635217707641</v>
      </c>
      <c r="AN4" s="2">
        <f t="shared" ref="AN4" si="16">LN(AN3)</f>
        <v>10.955925681011598</v>
      </c>
      <c r="AO4" s="2">
        <f t="shared" ref="AO4:AQ4" si="17">LN(AO3)</f>
        <v>10.97177083676144</v>
      </c>
      <c r="AP4" s="2">
        <f t="shared" si="17"/>
        <v>10.995534900061468</v>
      </c>
      <c r="AQ4" s="2">
        <f t="shared" si="17"/>
        <v>11.013666213726987</v>
      </c>
      <c r="AR4" s="2">
        <f t="shared" ref="AR4" si="18">LN(AR3)</f>
        <v>10.975985923717163</v>
      </c>
      <c r="AS4" s="2"/>
      <c r="AT4" s="2"/>
      <c r="AU4" s="2"/>
      <c r="AV4" s="2"/>
      <c r="AW4" s="2"/>
      <c r="AX4" s="2"/>
      <c r="AY4" s="2"/>
      <c r="AZ4" s="2"/>
      <c r="BA4" s="2"/>
    </row>
    <row r="5" spans="1:53" x14ac:dyDescent="0.25">
      <c r="A5" t="s">
        <v>55</v>
      </c>
      <c r="B5" t="s">
        <v>7</v>
      </c>
      <c r="C5" s="2">
        <v>35.299999999999997</v>
      </c>
      <c r="D5" s="2">
        <v>35.200000000000003</v>
      </c>
      <c r="E5" s="2">
        <v>36.1</v>
      </c>
      <c r="F5" s="2">
        <v>37.299999999999997</v>
      </c>
      <c r="G5" s="2">
        <v>37.9</v>
      </c>
      <c r="H5" s="2">
        <v>38</v>
      </c>
      <c r="I5" s="2">
        <v>38.200000000000003</v>
      </c>
      <c r="J5" s="2">
        <v>38.200000000000003</v>
      </c>
      <c r="K5" s="2">
        <v>37.200000000000003</v>
      </c>
      <c r="L5" s="2">
        <v>37.700000000000003</v>
      </c>
      <c r="M5" s="2">
        <v>38.200000000000003</v>
      </c>
      <c r="N5" s="2">
        <v>38.299999999999997</v>
      </c>
      <c r="O5" s="2">
        <v>38</v>
      </c>
      <c r="P5" s="2">
        <v>38.4</v>
      </c>
      <c r="Q5" s="2">
        <v>40.4</v>
      </c>
      <c r="R5" s="2">
        <v>40</v>
      </c>
      <c r="S5" s="2">
        <v>39.9</v>
      </c>
      <c r="T5" s="2">
        <v>40.299999999999997</v>
      </c>
      <c r="U5" s="2">
        <v>40.5</v>
      </c>
      <c r="V5" s="2">
        <v>40</v>
      </c>
      <c r="W5" s="2">
        <v>40</v>
      </c>
      <c r="X5" s="2">
        <v>40.1</v>
      </c>
      <c r="Y5" s="2">
        <v>40.6</v>
      </c>
      <c r="Z5" s="2">
        <v>40.4</v>
      </c>
      <c r="AA5" s="2">
        <v>40.799999999999997</v>
      </c>
      <c r="AB5" s="2">
        <v>40.299999999999997</v>
      </c>
      <c r="AC5" s="2">
        <v>41</v>
      </c>
      <c r="AD5" s="2">
        <v>41.4</v>
      </c>
      <c r="AE5" s="2">
        <v>40.799999999999997</v>
      </c>
      <c r="AF5" s="2">
        <v>40.799999999999997</v>
      </c>
      <c r="AG5" s="2">
        <v>40.6</v>
      </c>
      <c r="AH5" s="2">
        <v>40</v>
      </c>
      <c r="AI5" s="2">
        <v>40.9</v>
      </c>
      <c r="AJ5" s="2">
        <v>40.9</v>
      </c>
      <c r="AK5" s="2">
        <v>40.700000000000003</v>
      </c>
      <c r="AL5" s="2">
        <v>41.5</v>
      </c>
      <c r="AM5" s="2">
        <v>41.2</v>
      </c>
      <c r="AN5" s="2">
        <v>41.1</v>
      </c>
      <c r="AO5" s="2">
        <v>41.2</v>
      </c>
      <c r="AP5" s="2">
        <v>41.4</v>
      </c>
      <c r="AQ5" s="2">
        <v>41.5</v>
      </c>
      <c r="AR5" s="2">
        <v>39.700000000000003</v>
      </c>
      <c r="AS5" s="2"/>
      <c r="AT5" s="2"/>
      <c r="AU5" s="2"/>
      <c r="AV5" s="2"/>
      <c r="AW5" s="2"/>
      <c r="AX5" s="2"/>
      <c r="AY5" s="2"/>
      <c r="AZ5" s="2"/>
      <c r="BA5" s="2"/>
    </row>
    <row r="6" spans="1:53" hidden="1" x14ac:dyDescent="0.25">
      <c r="A6" t="s">
        <v>9</v>
      </c>
      <c r="B6" t="s">
        <v>5</v>
      </c>
      <c r="C6" s="2">
        <v>718460547037.255</v>
      </c>
      <c r="D6" s="2">
        <v>784558917364.68079</v>
      </c>
      <c r="E6" s="2">
        <v>751215163376.6853</v>
      </c>
      <c r="F6" s="2">
        <v>757450249232.70825</v>
      </c>
      <c r="G6" s="2">
        <v>735256956930.19019</v>
      </c>
      <c r="H6" s="2">
        <v>774960832604.41956</v>
      </c>
      <c r="I6" s="2">
        <v>835795257963.87</v>
      </c>
      <c r="J6" s="2">
        <v>898396322785.3623</v>
      </c>
      <c r="K6" s="2">
        <v>930109712979.68408</v>
      </c>
      <c r="L6" s="2">
        <v>929551647151.89709</v>
      </c>
      <c r="M6" s="2">
        <v>958925479201.90002</v>
      </c>
      <c r="N6" s="2">
        <v>917212220856.61523</v>
      </c>
      <c r="O6" s="2">
        <v>926679589877.1665</v>
      </c>
      <c r="P6" s="2">
        <v>921637785237.6543</v>
      </c>
      <c r="Q6" s="2">
        <v>967025589117.6405</v>
      </c>
      <c r="R6" s="2">
        <v>1023624343217.9014</v>
      </c>
      <c r="S6" s="2">
        <v>1066860123057.7375</v>
      </c>
      <c r="T6" s="2">
        <v>1090425612783.9088</v>
      </c>
      <c r="U6" s="2">
        <v>1127443882933.1636</v>
      </c>
      <c r="V6" s="2">
        <v>1131255747038.6509</v>
      </c>
      <c r="W6" s="2">
        <v>1136549317651.9763</v>
      </c>
      <c r="X6" s="2">
        <v>1186420527155.9531</v>
      </c>
      <c r="Y6" s="2">
        <v>1202910543363.1013</v>
      </c>
      <c r="Z6" s="2">
        <v>1239640958003.7034</v>
      </c>
      <c r="AA6" s="2">
        <v>1253783141526.7798</v>
      </c>
      <c r="AB6" s="2">
        <v>1326000607099.748</v>
      </c>
      <c r="AC6" s="2">
        <v>1368460897672.7788</v>
      </c>
      <c r="AD6" s="2">
        <v>1422679163956.1187</v>
      </c>
      <c r="AE6" s="2">
        <v>1509033948357.9229</v>
      </c>
      <c r="AF6" s="2">
        <v>1585907087042.6296</v>
      </c>
      <c r="AG6" s="2">
        <v>1583911825584.0054</v>
      </c>
      <c r="AH6" s="2">
        <v>1703152284574.4092</v>
      </c>
      <c r="AI6" s="2">
        <v>1770842762050.6638</v>
      </c>
      <c r="AJ6" s="2">
        <v>1804863767940.8455</v>
      </c>
      <c r="AK6" s="2">
        <v>1859096723592.519</v>
      </c>
      <c r="AL6" s="2">
        <v>1868465748247.719</v>
      </c>
      <c r="AM6" s="2">
        <v>1802214373741.3206</v>
      </c>
      <c r="AN6" s="2">
        <v>1743175328356.7314</v>
      </c>
      <c r="AO6" s="2">
        <v>1766235255333.2925</v>
      </c>
      <c r="AP6" s="2">
        <v>1797739006514.9338</v>
      </c>
      <c r="AQ6" s="2">
        <v>1819685405632.8264</v>
      </c>
      <c r="AR6" s="2">
        <v>1749105698451.8037</v>
      </c>
      <c r="AS6" s="2"/>
      <c r="AT6" s="2"/>
      <c r="AU6" s="2"/>
      <c r="AV6" s="2"/>
      <c r="AW6" s="2"/>
      <c r="AX6" s="2"/>
      <c r="AY6" s="2"/>
      <c r="AZ6" s="2"/>
      <c r="BA6" s="2"/>
    </row>
    <row r="7" spans="1:53" x14ac:dyDescent="0.25">
      <c r="A7" t="s">
        <v>9</v>
      </c>
      <c r="B7" t="s">
        <v>69</v>
      </c>
      <c r="C7" s="2">
        <v>6014.8745847970713</v>
      </c>
      <c r="D7" s="2">
        <v>6415.6455267274305</v>
      </c>
      <c r="E7" s="2">
        <v>6001.6522056560216</v>
      </c>
      <c r="F7" s="2">
        <v>5914.5721887194031</v>
      </c>
      <c r="G7" s="2">
        <v>5613.6182680274478</v>
      </c>
      <c r="H7" s="2">
        <v>5788.0941296566461</v>
      </c>
      <c r="I7" s="2">
        <v>6110.3657479221492</v>
      </c>
      <c r="J7" s="2">
        <v>6433.5057173709574</v>
      </c>
      <c r="K7" s="2">
        <v>6528.6313184971568</v>
      </c>
      <c r="L7" s="2">
        <v>6399.4920617551516</v>
      </c>
      <c r="M7" s="2">
        <v>6479.0768856124541</v>
      </c>
      <c r="N7" s="2">
        <v>6086.0848702955627</v>
      </c>
      <c r="O7" s="2">
        <v>6043.4399002609362</v>
      </c>
      <c r="P7" s="2">
        <v>5911.694130848563</v>
      </c>
      <c r="Q7" s="2">
        <v>6103.3845534975771</v>
      </c>
      <c r="R7" s="2">
        <v>6358.6864325873103</v>
      </c>
      <c r="S7" s="2">
        <v>6524.5266979358503</v>
      </c>
      <c r="T7" s="2">
        <v>6567.3603568237522</v>
      </c>
      <c r="U7" s="2">
        <v>6689.2074191230777</v>
      </c>
      <c r="V7" s="2">
        <v>6613.9911329566939</v>
      </c>
      <c r="W7" s="2">
        <v>6551.2345477737017</v>
      </c>
      <c r="X7" s="2">
        <v>6745.8658812468011</v>
      </c>
      <c r="Y7" s="2">
        <v>6749.8897189862519</v>
      </c>
      <c r="Z7" s="2">
        <v>6868.7041653258611</v>
      </c>
      <c r="AA7" s="2">
        <v>6865.1815046149377</v>
      </c>
      <c r="AB7" s="2">
        <v>7178.3561158412913</v>
      </c>
      <c r="AC7" s="2">
        <v>7325.9123584321542</v>
      </c>
      <c r="AD7" s="2">
        <v>7534.5515591142639</v>
      </c>
      <c r="AE7" s="2">
        <v>7909.8347575088328</v>
      </c>
      <c r="AF7" s="2">
        <v>8231.1102691655997</v>
      </c>
      <c r="AG7" s="2">
        <v>8142.7708385530059</v>
      </c>
      <c r="AH7" s="2">
        <v>8673.9088122477042</v>
      </c>
      <c r="AI7" s="2">
        <v>8935.2880570864127</v>
      </c>
      <c r="AJ7" s="2">
        <v>9025.3248475383589</v>
      </c>
      <c r="AK7" s="2">
        <v>9216.1433604362537</v>
      </c>
      <c r="AL7" s="2">
        <v>9183.470768025596</v>
      </c>
      <c r="AM7" s="2">
        <v>8783.2259838781702</v>
      </c>
      <c r="AN7" s="2">
        <v>8426.8533524550239</v>
      </c>
      <c r="AO7" s="2">
        <v>8470.9507885725707</v>
      </c>
      <c r="AP7" s="2">
        <v>8553.8761865393608</v>
      </c>
      <c r="AQ7" s="2">
        <v>8592.2215375353735</v>
      </c>
      <c r="AR7" s="2">
        <v>8204.2027260088144</v>
      </c>
      <c r="AS7" s="2"/>
      <c r="AT7" s="2"/>
      <c r="AU7" s="2"/>
      <c r="AV7" s="2"/>
      <c r="AW7" s="2"/>
      <c r="AX7" s="2"/>
      <c r="AY7" s="2"/>
      <c r="AZ7" s="2"/>
      <c r="BA7" s="2"/>
    </row>
    <row r="8" spans="1:53" x14ac:dyDescent="0.25">
      <c r="A8" t="s">
        <v>9</v>
      </c>
      <c r="B8" t="s">
        <v>88</v>
      </c>
      <c r="C8" s="2">
        <f>LN(C7)</f>
        <v>8.701990777783605</v>
      </c>
      <c r="D8" s="2">
        <f t="shared" ref="D8:AR8" si="19">LN(D7)</f>
        <v>8.766494899692086</v>
      </c>
      <c r="E8" s="2">
        <f t="shared" si="19"/>
        <v>8.6997900779128283</v>
      </c>
      <c r="F8" s="2">
        <f t="shared" si="19"/>
        <v>8.6851744472912031</v>
      </c>
      <c r="G8" s="2">
        <f t="shared" si="19"/>
        <v>8.6329507581773779</v>
      </c>
      <c r="H8" s="2">
        <f t="shared" si="19"/>
        <v>8.6635583505176577</v>
      </c>
      <c r="I8" s="2">
        <f t="shared" si="19"/>
        <v>8.7177419109177929</v>
      </c>
      <c r="J8" s="2">
        <f t="shared" si="19"/>
        <v>8.7692748813121391</v>
      </c>
      <c r="K8" s="2">
        <f t="shared" si="19"/>
        <v>8.7839526012965052</v>
      </c>
      <c r="L8" s="2">
        <f t="shared" si="19"/>
        <v>8.7639739008474091</v>
      </c>
      <c r="M8" s="2">
        <f t="shared" si="19"/>
        <v>8.7763333232745069</v>
      </c>
      <c r="N8" s="2">
        <f t="shared" si="19"/>
        <v>8.7137602755281947</v>
      </c>
      <c r="O8" s="2">
        <f t="shared" si="19"/>
        <v>8.7067286487246953</v>
      </c>
      <c r="P8" s="2">
        <f t="shared" si="19"/>
        <v>8.6846877242883753</v>
      </c>
      <c r="Q8" s="2">
        <f t="shared" si="19"/>
        <v>8.7165987411275889</v>
      </c>
      <c r="R8" s="2">
        <f t="shared" si="19"/>
        <v>8.7575770992460082</v>
      </c>
      <c r="S8" s="2">
        <f t="shared" si="19"/>
        <v>8.7833236928451672</v>
      </c>
      <c r="T8" s="2">
        <f t="shared" si="19"/>
        <v>8.789867258573647</v>
      </c>
      <c r="U8" s="2">
        <f t="shared" si="19"/>
        <v>8.8082506736259898</v>
      </c>
      <c r="V8" s="2">
        <f t="shared" si="19"/>
        <v>8.7969425528932277</v>
      </c>
      <c r="W8" s="2">
        <f t="shared" si="19"/>
        <v>8.7874087914452037</v>
      </c>
      <c r="X8" s="2">
        <f t="shared" si="19"/>
        <v>8.8166851341975754</v>
      </c>
      <c r="Y8" s="2">
        <f t="shared" si="19"/>
        <v>8.8172814458051469</v>
      </c>
      <c r="Z8" s="2">
        <f t="shared" si="19"/>
        <v>8.8347307452016768</v>
      </c>
      <c r="AA8" s="2">
        <f t="shared" si="19"/>
        <v>8.8342177569807419</v>
      </c>
      <c r="AB8" s="2">
        <f t="shared" si="19"/>
        <v>8.8788256826030327</v>
      </c>
      <c r="AC8" s="2">
        <f t="shared" si="19"/>
        <v>8.8991729801812269</v>
      </c>
      <c r="AD8" s="2">
        <f t="shared" si="19"/>
        <v>8.9272545949052393</v>
      </c>
      <c r="AE8" s="2">
        <f t="shared" si="19"/>
        <v>8.9758621702159118</v>
      </c>
      <c r="AF8" s="2">
        <f t="shared" si="19"/>
        <v>9.0156761896956397</v>
      </c>
      <c r="AG8" s="2">
        <f t="shared" si="19"/>
        <v>9.0048857989310136</v>
      </c>
      <c r="AH8" s="2">
        <f t="shared" si="19"/>
        <v>9.0680748115717442</v>
      </c>
      <c r="AI8" s="2">
        <f t="shared" si="19"/>
        <v>9.0977636662553252</v>
      </c>
      <c r="AJ8" s="2">
        <f t="shared" si="19"/>
        <v>9.1077897767403826</v>
      </c>
      <c r="AK8" s="2">
        <f t="shared" si="19"/>
        <v>9.1287119384175774</v>
      </c>
      <c r="AL8" s="2">
        <f t="shared" si="19"/>
        <v>9.1251604914661861</v>
      </c>
      <c r="AM8" s="2">
        <f t="shared" si="19"/>
        <v>9.0805990432773562</v>
      </c>
      <c r="AN8" s="2">
        <f t="shared" si="19"/>
        <v>9.0391787135152057</v>
      </c>
      <c r="AO8" s="2">
        <f t="shared" si="19"/>
        <v>9.0443980350146731</v>
      </c>
      <c r="AP8" s="2">
        <f t="shared" si="19"/>
        <v>9.0541398143472112</v>
      </c>
      <c r="AQ8" s="2">
        <f t="shared" si="19"/>
        <v>9.0586126005800409</v>
      </c>
      <c r="AR8" s="2">
        <f t="shared" si="19"/>
        <v>9.012401829517005</v>
      </c>
      <c r="AS8" s="2"/>
      <c r="AT8" s="2"/>
      <c r="AU8" s="2"/>
      <c r="AV8" s="2"/>
      <c r="AW8" s="2"/>
      <c r="AX8" s="2"/>
      <c r="AY8" s="2"/>
      <c r="AZ8" s="2"/>
      <c r="BA8" s="2"/>
    </row>
    <row r="9" spans="1:53" x14ac:dyDescent="0.25">
      <c r="A9" t="s">
        <v>9</v>
      </c>
      <c r="B9" t="s">
        <v>7</v>
      </c>
      <c r="C9" s="2" t="s">
        <v>33</v>
      </c>
      <c r="D9" s="2" t="s">
        <v>33</v>
      </c>
      <c r="E9" s="2">
        <v>57.9</v>
      </c>
      <c r="F9" s="2">
        <v>58.4</v>
      </c>
      <c r="G9" s="2">
        <v>59</v>
      </c>
      <c r="H9" s="2">
        <v>58.4</v>
      </c>
      <c r="I9" s="2">
        <v>55.6</v>
      </c>
      <c r="J9" s="2">
        <v>58.5</v>
      </c>
      <c r="K9" s="2">
        <v>59.7</v>
      </c>
      <c r="L9" s="2">
        <v>61.4</v>
      </c>
      <c r="M9" s="2">
        <v>63.3</v>
      </c>
      <c r="N9" s="2">
        <v>60.5</v>
      </c>
      <c r="O9" s="2" t="s">
        <v>33</v>
      </c>
      <c r="P9" s="2">
        <v>53.2</v>
      </c>
      <c r="Q9" s="2">
        <v>60.1</v>
      </c>
      <c r="R9" s="2">
        <v>59.7</v>
      </c>
      <c r="S9" s="2">
        <v>59.6</v>
      </c>
      <c r="T9" s="2">
        <v>59.9</v>
      </c>
      <c r="U9" s="2">
        <v>59.8</v>
      </c>
      <c r="V9" s="2">
        <v>59.6</v>
      </c>
      <c r="W9" s="2">
        <v>59</v>
      </c>
      <c r="X9" s="2">
        <v>58.8</v>
      </c>
      <c r="Y9" s="2">
        <v>58.4</v>
      </c>
      <c r="Z9" s="2">
        <v>58.1</v>
      </c>
      <c r="AA9" s="2">
        <v>57.6</v>
      </c>
      <c r="AB9" s="2">
        <v>56.5</v>
      </c>
      <c r="AC9" s="2">
        <v>56.3</v>
      </c>
      <c r="AD9" s="2">
        <v>55.6</v>
      </c>
      <c r="AE9" s="2">
        <v>54.9</v>
      </c>
      <c r="AF9" s="2">
        <v>54</v>
      </c>
      <c r="AG9" s="2">
        <v>53.7</v>
      </c>
      <c r="AH9" s="2">
        <v>53.2</v>
      </c>
      <c r="AI9" s="2">
        <v>52.9</v>
      </c>
      <c r="AJ9" s="2">
        <v>53.4</v>
      </c>
      <c r="AK9" s="2">
        <v>52.7</v>
      </c>
      <c r="AL9" s="2">
        <v>52</v>
      </c>
      <c r="AM9" s="2">
        <v>51.9</v>
      </c>
      <c r="AN9" s="2">
        <v>53.3</v>
      </c>
      <c r="AO9" s="2">
        <v>53.3</v>
      </c>
      <c r="AP9" s="2">
        <v>53.9</v>
      </c>
      <c r="AQ9" s="2">
        <v>53.5</v>
      </c>
      <c r="AR9" s="2">
        <v>48.9</v>
      </c>
      <c r="AS9" s="2"/>
      <c r="AT9" s="2"/>
      <c r="AU9" s="2"/>
      <c r="AV9" s="2"/>
      <c r="AW9" s="2"/>
      <c r="AX9" s="2"/>
      <c r="AY9" s="2"/>
      <c r="AZ9" s="2"/>
      <c r="BA9" s="2"/>
    </row>
    <row r="10" spans="1:53" hidden="1" x14ac:dyDescent="0.25">
      <c r="A10" t="s">
        <v>23</v>
      </c>
      <c r="B10" t="s">
        <v>5</v>
      </c>
      <c r="C10" s="2">
        <v>392055467396.68726</v>
      </c>
      <c r="D10" s="2">
        <v>422769661255.45728</v>
      </c>
      <c r="E10" s="2">
        <v>444384863998.94171</v>
      </c>
      <c r="F10" s="2">
        <v>484455553401.5094</v>
      </c>
      <c r="G10" s="2">
        <v>536632397557.18341</v>
      </c>
      <c r="H10" s="2">
        <v>618155123011.75916</v>
      </c>
      <c r="I10" s="2">
        <v>701177544159.34009</v>
      </c>
      <c r="J10" s="2">
        <v>763932666262.02026</v>
      </c>
      <c r="K10" s="2">
        <v>852987565219.69177</v>
      </c>
      <c r="L10" s="2">
        <v>948714904915.56494</v>
      </c>
      <c r="M10" s="2">
        <v>988621025896.57019</v>
      </c>
      <c r="N10" s="2">
        <v>1027377455186.2996</v>
      </c>
      <c r="O10" s="2">
        <v>1122541231141.8369</v>
      </c>
      <c r="P10" s="2">
        <v>1282217440753.0115</v>
      </c>
      <c r="Q10" s="2">
        <v>1460237039290.7505</v>
      </c>
      <c r="R10" s="2">
        <v>1650605318482.0068</v>
      </c>
      <c r="S10" s="2">
        <v>1831411871435.4551</v>
      </c>
      <c r="T10" s="2">
        <v>2013134753757.7036</v>
      </c>
      <c r="U10" s="2">
        <v>2199083579885.4434</v>
      </c>
      <c r="V10" s="2">
        <v>2371622617326.5518</v>
      </c>
      <c r="W10" s="2">
        <v>2553328077171.9634</v>
      </c>
      <c r="X10" s="2">
        <v>2770108015885.8613</v>
      </c>
      <c r="Y10" s="2">
        <v>3001016837148.7275</v>
      </c>
      <c r="Z10" s="2">
        <v>3275118634996.3066</v>
      </c>
      <c r="AA10" s="2">
        <v>3603876041860.811</v>
      </c>
      <c r="AB10" s="2">
        <v>3968358419663.3315</v>
      </c>
      <c r="AC10" s="2">
        <v>4420536663136.4268</v>
      </c>
      <c r="AD10" s="2">
        <v>4982871172216.7002</v>
      </c>
      <c r="AE10" s="2">
        <v>5691976639219.751</v>
      </c>
      <c r="AF10" s="2">
        <v>6241291028834.9102</v>
      </c>
      <c r="AG10" s="2">
        <v>6827892848566.1182</v>
      </c>
      <c r="AH10" s="2">
        <v>7554098728364.7373</v>
      </c>
      <c r="AI10" s="2">
        <v>8275578020536.5723</v>
      </c>
      <c r="AJ10" s="2">
        <v>8926347665673.9473</v>
      </c>
      <c r="AK10" s="2">
        <v>9619581223626.4785</v>
      </c>
      <c r="AL10" s="2">
        <v>10333908590021.293</v>
      </c>
      <c r="AM10" s="2">
        <v>11061553079876.355</v>
      </c>
      <c r="AN10" s="2">
        <v>11819132546490.135</v>
      </c>
      <c r="AO10" s="2">
        <v>12640231416521.865</v>
      </c>
      <c r="AP10" s="2">
        <v>13493418449046.986</v>
      </c>
      <c r="AQ10" s="2">
        <v>14296344415553.996</v>
      </c>
      <c r="AR10" s="2">
        <v>14616539906901.262</v>
      </c>
      <c r="AS10" s="2"/>
      <c r="AT10" s="2"/>
      <c r="AU10" s="2"/>
      <c r="AV10" s="2"/>
      <c r="AW10" s="2"/>
      <c r="AX10" s="2"/>
      <c r="AY10" s="2"/>
      <c r="AZ10" s="2"/>
      <c r="BA10" s="2"/>
    </row>
    <row r="11" spans="1:53" x14ac:dyDescent="0.25">
      <c r="A11" t="s">
        <v>23</v>
      </c>
      <c r="B11" t="s">
        <v>69</v>
      </c>
      <c r="C11" s="2">
        <v>404.59591787110207</v>
      </c>
      <c r="D11" s="2">
        <v>430.85464873904544</v>
      </c>
      <c r="E11" s="2">
        <v>447.11899666353924</v>
      </c>
      <c r="F11" s="2">
        <v>480.31047401079621</v>
      </c>
      <c r="G11" s="2">
        <v>524.40843689320286</v>
      </c>
      <c r="H11" s="2">
        <v>596.20005595135069</v>
      </c>
      <c r="I11" s="2">
        <v>667.12736352502293</v>
      </c>
      <c r="J11" s="2">
        <v>716.1040750869621</v>
      </c>
      <c r="K11" s="2">
        <v>786.86349169509447</v>
      </c>
      <c r="L11" s="2">
        <v>861.19196546532407</v>
      </c>
      <c r="M11" s="2">
        <v>883.76259410590455</v>
      </c>
      <c r="N11" s="2">
        <v>905.03085857045289</v>
      </c>
      <c r="O11" s="2">
        <v>975.46119253187999</v>
      </c>
      <c r="P11" s="2">
        <v>1100.644171740913</v>
      </c>
      <c r="Q11" s="2">
        <v>1239.1271844903013</v>
      </c>
      <c r="R11" s="2">
        <v>1384.9277110355099</v>
      </c>
      <c r="S11" s="2">
        <v>1520.0267844972673</v>
      </c>
      <c r="T11" s="2">
        <v>1653.4308683484896</v>
      </c>
      <c r="U11" s="2">
        <v>1787.7638191861824</v>
      </c>
      <c r="V11" s="2">
        <v>1909.6189553612321</v>
      </c>
      <c r="W11" s="2">
        <v>2038.2028738495878</v>
      </c>
      <c r="X11" s="2">
        <v>2193.8929912096128</v>
      </c>
      <c r="Y11" s="2">
        <v>2359.5682172809115</v>
      </c>
      <c r="Z11" s="2">
        <v>2557.8870938740288</v>
      </c>
      <c r="AA11" s="2">
        <v>2797.1717183023993</v>
      </c>
      <c r="AB11" s="2">
        <v>3061.8277643371962</v>
      </c>
      <c r="AC11" s="2">
        <v>3390.7101702331993</v>
      </c>
      <c r="AD11" s="2">
        <v>3800.7590824065996</v>
      </c>
      <c r="AE11" s="2">
        <v>4319.0237685532129</v>
      </c>
      <c r="AF11" s="2">
        <v>4711.6351267574655</v>
      </c>
      <c r="AG11" s="2">
        <v>5128.8950682557261</v>
      </c>
      <c r="AH11" s="2">
        <v>5647.0587523891572</v>
      </c>
      <c r="AI11" s="2">
        <v>6152.686004852344</v>
      </c>
      <c r="AJ11" s="2">
        <v>6591.6508508214856</v>
      </c>
      <c r="AK11" s="2">
        <v>7056.4106273484331</v>
      </c>
      <c r="AL11" s="2">
        <v>7532.7719957002118</v>
      </c>
      <c r="AM11" s="2">
        <v>8016.4314349835167</v>
      </c>
      <c r="AN11" s="2">
        <v>8516.5136991116342</v>
      </c>
      <c r="AO11" s="2">
        <v>9053.2127333697645</v>
      </c>
      <c r="AP11" s="2">
        <v>9619.1924841362652</v>
      </c>
      <c r="AQ11" s="2">
        <v>10155.49294478332</v>
      </c>
      <c r="AR11" s="2">
        <v>10358.259447878436</v>
      </c>
      <c r="AS11" s="2"/>
      <c r="AT11" s="2"/>
      <c r="AU11" s="2"/>
      <c r="AV11" s="2"/>
      <c r="AW11" s="2"/>
      <c r="AX11" s="2"/>
      <c r="AY11" s="2"/>
      <c r="AZ11" s="2"/>
      <c r="BA11" s="2"/>
    </row>
    <row r="12" spans="1:53" x14ac:dyDescent="0.25">
      <c r="A12" t="s">
        <v>23</v>
      </c>
      <c r="B12" t="s">
        <v>88</v>
      </c>
      <c r="C12" s="2">
        <f>LN(C11)</f>
        <v>6.0028888353873997</v>
      </c>
      <c r="D12" s="2">
        <f t="shared" ref="D12:AR12" si="20">LN(D11)</f>
        <v>6.0657707913201415</v>
      </c>
      <c r="E12" s="2">
        <f t="shared" si="20"/>
        <v>6.1028247709607575</v>
      </c>
      <c r="F12" s="2">
        <f t="shared" si="20"/>
        <v>6.1744327156593135</v>
      </c>
      <c r="G12" s="2">
        <f t="shared" si="20"/>
        <v>6.262270840419931</v>
      </c>
      <c r="H12" s="2">
        <f t="shared" si="20"/>
        <v>6.3905762750905799</v>
      </c>
      <c r="I12" s="2">
        <f t="shared" si="20"/>
        <v>6.5029809774996572</v>
      </c>
      <c r="J12" s="2">
        <f t="shared" si="20"/>
        <v>6.573825512664154</v>
      </c>
      <c r="K12" s="2">
        <f t="shared" si="20"/>
        <v>6.6680547793637421</v>
      </c>
      <c r="L12" s="2">
        <f t="shared" si="20"/>
        <v>6.7583174359823639</v>
      </c>
      <c r="M12" s="2">
        <f t="shared" si="20"/>
        <v>6.7841884678655688</v>
      </c>
      <c r="N12" s="2">
        <f t="shared" si="20"/>
        <v>6.807969040986511</v>
      </c>
      <c r="O12" s="2">
        <f t="shared" si="20"/>
        <v>6.8829103771415232</v>
      </c>
      <c r="P12" s="2">
        <f t="shared" si="20"/>
        <v>7.0036508980570025</v>
      </c>
      <c r="Q12" s="2">
        <f t="shared" si="20"/>
        <v>7.1221625272812377</v>
      </c>
      <c r="R12" s="2">
        <f t="shared" si="20"/>
        <v>7.2334032230610861</v>
      </c>
      <c r="S12" s="2">
        <f t="shared" si="20"/>
        <v>7.3264832350648481</v>
      </c>
      <c r="T12" s="2">
        <f t="shared" si="20"/>
        <v>7.4106077222635633</v>
      </c>
      <c r="U12" s="2">
        <f t="shared" si="20"/>
        <v>7.4887208548307687</v>
      </c>
      <c r="V12" s="2">
        <f t="shared" si="20"/>
        <v>7.5546590013270682</v>
      </c>
      <c r="W12" s="2">
        <f t="shared" si="20"/>
        <v>7.6198237543875091</v>
      </c>
      <c r="X12" s="2">
        <f t="shared" si="20"/>
        <v>7.6934328662681466</v>
      </c>
      <c r="Y12" s="2">
        <f t="shared" si="20"/>
        <v>7.7662339225013817</v>
      </c>
      <c r="Z12" s="2">
        <f t="shared" si="20"/>
        <v>7.8469368427260457</v>
      </c>
      <c r="AA12" s="2">
        <f t="shared" si="20"/>
        <v>7.9363640850615953</v>
      </c>
      <c r="AB12" s="2">
        <f t="shared" si="20"/>
        <v>8.0267673252355713</v>
      </c>
      <c r="AC12" s="2">
        <f t="shared" si="20"/>
        <v>8.128794668178891</v>
      </c>
      <c r="AD12" s="2">
        <f t="shared" si="20"/>
        <v>8.2429560842934517</v>
      </c>
      <c r="AE12" s="2">
        <f t="shared" si="20"/>
        <v>8.3707846761993707</v>
      </c>
      <c r="AF12" s="2">
        <f t="shared" si="20"/>
        <v>8.4577902874345163</v>
      </c>
      <c r="AG12" s="2">
        <f t="shared" si="20"/>
        <v>8.5426455286609269</v>
      </c>
      <c r="AH12" s="2">
        <f t="shared" si="20"/>
        <v>8.6388901137960037</v>
      </c>
      <c r="AI12" s="2">
        <f t="shared" si="20"/>
        <v>8.7246440142100656</v>
      </c>
      <c r="AJ12" s="2">
        <f t="shared" si="20"/>
        <v>8.7935591045951806</v>
      </c>
      <c r="AK12" s="2">
        <f t="shared" si="20"/>
        <v>8.8616917914792239</v>
      </c>
      <c r="AL12" s="2">
        <f t="shared" si="20"/>
        <v>8.9270183799708693</v>
      </c>
      <c r="AM12" s="2">
        <f t="shared" si="20"/>
        <v>8.989248643605789</v>
      </c>
      <c r="AN12" s="2">
        <f t="shared" si="20"/>
        <v>9.0497623458370757</v>
      </c>
      <c r="AO12" s="2">
        <f t="shared" si="20"/>
        <v>9.1108749718594382</v>
      </c>
      <c r="AP12" s="2">
        <f t="shared" si="20"/>
        <v>9.1715155987785018</v>
      </c>
      <c r="AQ12" s="2">
        <f t="shared" si="20"/>
        <v>9.2257700149125075</v>
      </c>
      <c r="AR12" s="2">
        <f t="shared" si="20"/>
        <v>9.2455394947371818</v>
      </c>
      <c r="AS12" s="2"/>
      <c r="AT12" s="2"/>
      <c r="AU12" s="2"/>
      <c r="AV12" s="2"/>
      <c r="AW12" s="2"/>
      <c r="AX12" s="2"/>
      <c r="AY12" s="2"/>
      <c r="AZ12" s="2"/>
      <c r="BA12" s="2"/>
    </row>
    <row r="13" spans="1:53" x14ac:dyDescent="0.25">
      <c r="A13" t="s">
        <v>23</v>
      </c>
      <c r="B13" t="s">
        <v>7</v>
      </c>
      <c r="C13" s="2" t="s">
        <v>33</v>
      </c>
      <c r="D13" s="2" t="s">
        <v>33</v>
      </c>
      <c r="E13" s="2" t="s">
        <v>33</v>
      </c>
      <c r="F13" s="2" t="s">
        <v>33</v>
      </c>
      <c r="G13" s="2" t="s">
        <v>33</v>
      </c>
      <c r="H13" s="2" t="s">
        <v>33</v>
      </c>
      <c r="I13" s="2" t="s">
        <v>33</v>
      </c>
      <c r="J13" s="2" t="s">
        <v>33</v>
      </c>
      <c r="K13" s="2" t="s">
        <v>33</v>
      </c>
      <c r="L13" s="2" t="s">
        <v>33</v>
      </c>
      <c r="M13" s="2" t="s">
        <v>33</v>
      </c>
      <c r="N13" s="2">
        <v>32.200000000000003</v>
      </c>
      <c r="O13" s="2" t="s">
        <v>33</v>
      </c>
      <c r="P13" s="2" t="s">
        <v>33</v>
      </c>
      <c r="Q13" s="2">
        <v>33.9</v>
      </c>
      <c r="R13" s="2" t="s">
        <v>33</v>
      </c>
      <c r="S13" s="2" t="s">
        <v>33</v>
      </c>
      <c r="T13" s="2">
        <v>35.200000000000003</v>
      </c>
      <c r="U13" s="2" t="s">
        <v>33</v>
      </c>
      <c r="V13" s="2" t="s">
        <v>33</v>
      </c>
      <c r="W13" s="2">
        <v>38.700000000000003</v>
      </c>
      <c r="X13" s="2" t="s">
        <v>33</v>
      </c>
      <c r="Y13" s="2" t="s">
        <v>33</v>
      </c>
      <c r="Z13" s="2">
        <v>42</v>
      </c>
      <c r="AA13" s="2" t="s">
        <v>33</v>
      </c>
      <c r="AB13" s="2" t="s">
        <v>33</v>
      </c>
      <c r="AC13" s="2">
        <v>40.9</v>
      </c>
      <c r="AD13" s="2" t="s">
        <v>33</v>
      </c>
      <c r="AE13" s="2" t="s">
        <v>33</v>
      </c>
      <c r="AF13" s="2">
        <v>43</v>
      </c>
      <c r="AG13" s="2">
        <v>43.35</v>
      </c>
      <c r="AH13" s="2">
        <v>43.7</v>
      </c>
      <c r="AI13" s="2">
        <v>42.4</v>
      </c>
      <c r="AJ13" s="2">
        <v>42.2</v>
      </c>
      <c r="AK13" s="2">
        <v>39.700000000000003</v>
      </c>
      <c r="AL13" s="2">
        <v>39.200000000000003</v>
      </c>
      <c r="AM13" s="2">
        <v>38.6</v>
      </c>
      <c r="AN13" s="2">
        <v>38.5</v>
      </c>
      <c r="AO13" s="2">
        <v>39.1</v>
      </c>
      <c r="AP13" s="2">
        <v>38.5</v>
      </c>
      <c r="AQ13" s="2">
        <v>38.200000000000003</v>
      </c>
      <c r="AR13" s="2">
        <v>38.200000000000003</v>
      </c>
      <c r="AS13" s="2"/>
      <c r="AT13" s="2"/>
      <c r="AU13" s="2"/>
      <c r="AV13" s="2"/>
      <c r="AW13" s="2"/>
      <c r="AX13" s="2"/>
      <c r="AY13" s="2"/>
      <c r="AZ13" s="2"/>
      <c r="BA13" s="2"/>
    </row>
    <row r="14" spans="1:53" hidden="1" x14ac:dyDescent="0.25">
      <c r="A14" t="s">
        <v>82</v>
      </c>
      <c r="B14" t="s">
        <v>5</v>
      </c>
      <c r="C14" s="2">
        <v>234157416129.86371</v>
      </c>
      <c r="D14" s="2">
        <v>238138025327.29077</v>
      </c>
      <c r="E14" s="2">
        <v>239221149500.05475</v>
      </c>
      <c r="F14" s="2">
        <v>242208219499.10333</v>
      </c>
      <c r="G14" s="2">
        <v>246811722726.63904</v>
      </c>
      <c r="H14" s="2">
        <v>257250711527.94919</v>
      </c>
      <c r="I14" s="2">
        <v>262808288360.31189</v>
      </c>
      <c r="J14" s="2">
        <v>269881308726.53302</v>
      </c>
      <c r="K14" s="2">
        <v>278932704065.05402</v>
      </c>
      <c r="L14" s="2">
        <v>286070699812.6521</v>
      </c>
      <c r="M14" s="2">
        <v>293665324567.97003</v>
      </c>
      <c r="N14" s="2">
        <v>295881542676.80811</v>
      </c>
      <c r="O14" s="2">
        <v>292490814556.96313</v>
      </c>
      <c r="P14" s="2">
        <v>289102037155.61127</v>
      </c>
      <c r="Q14" s="2">
        <v>283130298151.24951</v>
      </c>
      <c r="R14" s="2">
        <v>294257241961.39252</v>
      </c>
      <c r="S14" s="2">
        <v>305836832131.48962</v>
      </c>
      <c r="T14" s="2">
        <v>310667391570.02478</v>
      </c>
      <c r="U14" s="2">
        <v>320206516443.84918</v>
      </c>
      <c r="V14" s="2">
        <v>334013297425.39111</v>
      </c>
      <c r="W14" s="2">
        <v>348199457231.40997</v>
      </c>
      <c r="X14" s="2">
        <v>364795858131.68384</v>
      </c>
      <c r="Y14" s="2">
        <v>370083569053.71375</v>
      </c>
      <c r="Z14" s="2">
        <v>378214012929.90222</v>
      </c>
      <c r="AA14" s="2">
        <v>386950040254.66205</v>
      </c>
      <c r="AB14" s="2">
        <v>403731506887.75104</v>
      </c>
      <c r="AC14" s="2">
        <v>415273396287.16571</v>
      </c>
      <c r="AD14" s="2">
        <v>434636654376.70288</v>
      </c>
      <c r="AE14" s="2">
        <v>449584772840.50708</v>
      </c>
      <c r="AF14" s="2">
        <v>447559127029.56561</v>
      </c>
      <c r="AG14" s="2">
        <v>428135998219.29071</v>
      </c>
      <c r="AH14" s="2">
        <v>453619110971.17133</v>
      </c>
      <c r="AI14" s="2">
        <v>468113753183.84302</v>
      </c>
      <c r="AJ14" s="2">
        <v>465359818585.78845</v>
      </c>
      <c r="AK14" s="2">
        <v>470887249502.53467</v>
      </c>
      <c r="AL14" s="2">
        <v>483402482698.49799</v>
      </c>
      <c r="AM14" s="2">
        <v>505103781349.7569</v>
      </c>
      <c r="AN14" s="2">
        <v>515562425649.40735</v>
      </c>
      <c r="AO14" s="2">
        <v>528801679620.70831</v>
      </c>
      <c r="AP14" s="2">
        <v>539113433181.75653</v>
      </c>
      <c r="AQ14" s="2">
        <v>549821281946.73523</v>
      </c>
      <c r="AR14" s="2">
        <v>537888988025.75726</v>
      </c>
      <c r="AS14" s="2"/>
      <c r="AT14" s="2"/>
      <c r="AU14" s="2"/>
      <c r="AV14" s="2"/>
      <c r="AW14" s="2"/>
      <c r="AX14" s="2"/>
      <c r="AY14" s="2"/>
      <c r="AZ14" s="2"/>
      <c r="BA14" s="2"/>
    </row>
    <row r="15" spans="1:53" x14ac:dyDescent="0.25">
      <c r="A15" t="s">
        <v>82</v>
      </c>
      <c r="B15" t="s">
        <v>69</v>
      </c>
      <c r="C15" s="2">
        <v>28233.241769196215</v>
      </c>
      <c r="D15" s="2">
        <v>28654.971063496516</v>
      </c>
      <c r="E15" s="2">
        <v>28750.803827611715</v>
      </c>
      <c r="F15" s="2">
        <v>29093.161321042149</v>
      </c>
      <c r="G15" s="2">
        <v>29632.698384871215</v>
      </c>
      <c r="H15" s="2">
        <v>30857.970544118281</v>
      </c>
      <c r="I15" s="2">
        <v>31472.59160957492</v>
      </c>
      <c r="J15" s="2">
        <v>32244.542717244643</v>
      </c>
      <c r="K15" s="2">
        <v>33214.957632382706</v>
      </c>
      <c r="L15" s="2">
        <v>33908.738553757627</v>
      </c>
      <c r="M15" s="2">
        <v>34577.483734532492</v>
      </c>
      <c r="N15" s="2">
        <v>34570.305733993948</v>
      </c>
      <c r="O15" s="2">
        <v>33941.985181910168</v>
      </c>
      <c r="P15" s="2">
        <v>33352.5383635834</v>
      </c>
      <c r="Q15" s="2">
        <v>32474.429914667056</v>
      </c>
      <c r="R15" s="2">
        <v>33511.648722448095</v>
      </c>
      <c r="S15" s="2">
        <v>34648.118915457511</v>
      </c>
      <c r="T15" s="2">
        <v>35139.402991610761</v>
      </c>
      <c r="U15" s="2">
        <v>36197.63420648071</v>
      </c>
      <c r="V15" s="2">
        <v>37737.462275382473</v>
      </c>
      <c r="W15" s="2">
        <v>39309.597001651862</v>
      </c>
      <c r="X15" s="2">
        <v>41117.152430350419</v>
      </c>
      <c r="Y15" s="2">
        <v>41601.30767828472</v>
      </c>
      <c r="Z15" s="2">
        <v>42377.119637975018</v>
      </c>
      <c r="AA15" s="2">
        <v>43194.926168404723</v>
      </c>
      <c r="AB15" s="2">
        <v>44891.323206397021</v>
      </c>
      <c r="AC15" s="2">
        <v>45990.374326398385</v>
      </c>
      <c r="AD15" s="2">
        <v>47864.810864230887</v>
      </c>
      <c r="AE15" s="2">
        <v>49145.195833241189</v>
      </c>
      <c r="AF15" s="2">
        <v>48544.115894103597</v>
      </c>
      <c r="AG15" s="2">
        <v>46043.480944999355</v>
      </c>
      <c r="AH15" s="2">
        <v>48369.91004078761</v>
      </c>
      <c r="AI15" s="2">
        <v>49539.97260764923</v>
      </c>
      <c r="AJ15" s="2">
        <v>48885.548417972488</v>
      </c>
      <c r="AK15" s="2">
        <v>49048.818750023791</v>
      </c>
      <c r="AL15" s="2">
        <v>49855.301012312979</v>
      </c>
      <c r="AM15" s="2">
        <v>51545.483609532152</v>
      </c>
      <c r="AN15" s="2">
        <v>51955.861070363433</v>
      </c>
      <c r="AO15" s="2">
        <v>52576.810282105143</v>
      </c>
      <c r="AP15" s="2">
        <v>52983.006861748217</v>
      </c>
      <c r="AQ15" s="2">
        <v>53490.351819874588</v>
      </c>
      <c r="AR15" s="2">
        <v>51952.673132834207</v>
      </c>
      <c r="AS15" s="2"/>
      <c r="AT15" s="2"/>
      <c r="AU15" s="2"/>
      <c r="AV15" s="2"/>
      <c r="AW15" s="2"/>
      <c r="AX15" s="2"/>
      <c r="AY15" s="2"/>
      <c r="AZ15" s="2"/>
      <c r="BA15" s="2"/>
    </row>
    <row r="16" spans="1:53" x14ac:dyDescent="0.25">
      <c r="A16" t="s">
        <v>82</v>
      </c>
      <c r="B16" t="s">
        <v>88</v>
      </c>
      <c r="C16" s="2">
        <f>LN(C15)</f>
        <v>10.248255348845037</v>
      </c>
      <c r="D16" s="2">
        <f t="shared" ref="D16:AR16" si="21">LN(D15)</f>
        <v>10.263082217161442</v>
      </c>
      <c r="E16" s="2">
        <f t="shared" si="21"/>
        <v>10.266421005055921</v>
      </c>
      <c r="F16" s="2">
        <f t="shared" si="21"/>
        <v>10.278258419391557</v>
      </c>
      <c r="G16" s="2">
        <f t="shared" si="21"/>
        <v>10.296633705772086</v>
      </c>
      <c r="H16" s="2">
        <f t="shared" si="21"/>
        <v>10.337150360440273</v>
      </c>
      <c r="I16" s="2">
        <f t="shared" si="21"/>
        <v>10.35687233841781</v>
      </c>
      <c r="J16" s="2">
        <f t="shared" si="21"/>
        <v>10.381104089834992</v>
      </c>
      <c r="K16" s="2">
        <f t="shared" si="21"/>
        <v>10.410755584541782</v>
      </c>
      <c r="L16" s="2">
        <f t="shared" si="21"/>
        <v>10.431428034597545</v>
      </c>
      <c r="M16" s="2">
        <f t="shared" si="21"/>
        <v>10.450957990092636</v>
      </c>
      <c r="N16" s="2">
        <f t="shared" si="21"/>
        <v>10.450750376787294</v>
      </c>
      <c r="O16" s="2">
        <f t="shared" si="21"/>
        <v>10.432408028000205</v>
      </c>
      <c r="P16" s="2">
        <f t="shared" si="21"/>
        <v>10.41488916129841</v>
      </c>
      <c r="Q16" s="2">
        <f t="shared" si="21"/>
        <v>10.388208286794018</v>
      </c>
      <c r="R16" s="2">
        <f t="shared" si="21"/>
        <v>10.419648380429658</v>
      </c>
      <c r="S16" s="2">
        <f t="shared" si="21"/>
        <v>10.45299871499021</v>
      </c>
      <c r="T16" s="2">
        <f t="shared" si="21"/>
        <v>10.467078372171915</v>
      </c>
      <c r="U16" s="2">
        <f t="shared" si="21"/>
        <v>10.496749042266099</v>
      </c>
      <c r="V16" s="2">
        <f t="shared" si="21"/>
        <v>10.538408574355966</v>
      </c>
      <c r="W16" s="2">
        <f t="shared" si="21"/>
        <v>10.579223966561063</v>
      </c>
      <c r="X16" s="2">
        <f t="shared" si="21"/>
        <v>10.62418064749647</v>
      </c>
      <c r="Y16" s="2">
        <f t="shared" si="21"/>
        <v>10.635886880329451</v>
      </c>
      <c r="Z16" s="2">
        <f t="shared" si="21"/>
        <v>10.654363864386907</v>
      </c>
      <c r="AA16" s="2">
        <f t="shared" si="21"/>
        <v>10.673478317528987</v>
      </c>
      <c r="AB16" s="2">
        <f t="shared" si="21"/>
        <v>10.711999807982162</v>
      </c>
      <c r="AC16" s="2">
        <f t="shared" si="21"/>
        <v>10.736187399800658</v>
      </c>
      <c r="AD16" s="2">
        <f t="shared" si="21"/>
        <v>10.776135875930693</v>
      </c>
      <c r="AE16" s="2">
        <f t="shared" si="21"/>
        <v>10.80253437579778</v>
      </c>
      <c r="AF16" s="2">
        <f t="shared" si="21"/>
        <v>10.790228269548663</v>
      </c>
      <c r="AG16" s="2">
        <f t="shared" si="21"/>
        <v>10.737341466949941</v>
      </c>
      <c r="AH16" s="2">
        <f t="shared" si="21"/>
        <v>10.78663320600111</v>
      </c>
      <c r="AI16" s="2">
        <f t="shared" si="21"/>
        <v>10.810535150109189</v>
      </c>
      <c r="AJ16" s="2">
        <f t="shared" si="21"/>
        <v>10.797237098409575</v>
      </c>
      <c r="AK16" s="2">
        <f t="shared" si="21"/>
        <v>10.800571382135198</v>
      </c>
      <c r="AL16" s="2">
        <f t="shared" si="21"/>
        <v>10.816880109000417</v>
      </c>
      <c r="AM16" s="2">
        <f t="shared" si="21"/>
        <v>10.850219873764717</v>
      </c>
      <c r="AN16" s="2">
        <f t="shared" si="21"/>
        <v>10.858149811537215</v>
      </c>
      <c r="AO16" s="2">
        <f t="shared" si="21"/>
        <v>10.870030432352921</v>
      </c>
      <c r="AP16" s="2">
        <f t="shared" si="21"/>
        <v>10.877726515872959</v>
      </c>
      <c r="AQ16" s="2">
        <f t="shared" si="21"/>
        <v>10.887256576805489</v>
      </c>
      <c r="AR16" s="2">
        <f t="shared" si="21"/>
        <v>10.858088451081029</v>
      </c>
      <c r="AS16" s="2"/>
      <c r="AT16" s="2"/>
      <c r="AU16" s="2"/>
      <c r="AV16" s="2"/>
      <c r="AW16" s="2"/>
      <c r="AX16" s="2"/>
      <c r="AY16" s="2"/>
      <c r="AZ16" s="2"/>
      <c r="BA16" s="2"/>
    </row>
    <row r="17" spans="1:53" x14ac:dyDescent="0.25">
      <c r="A17" t="s">
        <v>82</v>
      </c>
      <c r="B17" t="s">
        <v>7</v>
      </c>
      <c r="C17" s="2" t="s">
        <v>33</v>
      </c>
      <c r="D17" s="2" t="s">
        <v>33</v>
      </c>
      <c r="E17" s="2">
        <v>22.9</v>
      </c>
      <c r="F17" s="2" t="s">
        <v>33</v>
      </c>
      <c r="G17" s="2" t="s">
        <v>33</v>
      </c>
      <c r="H17" s="2" t="s">
        <v>33</v>
      </c>
      <c r="I17" s="2" t="s">
        <v>33</v>
      </c>
      <c r="J17" s="2" t="s">
        <v>33</v>
      </c>
      <c r="K17" s="2">
        <v>23.1</v>
      </c>
      <c r="L17" s="2" t="s">
        <v>33</v>
      </c>
      <c r="M17" s="2" t="s">
        <v>33</v>
      </c>
      <c r="N17" s="2" t="s">
        <v>33</v>
      </c>
      <c r="O17" s="2" t="s">
        <v>33</v>
      </c>
      <c r="P17" s="2">
        <v>24.9</v>
      </c>
      <c r="Q17" s="2" t="s">
        <v>33</v>
      </c>
      <c r="R17" s="2" t="s">
        <v>33</v>
      </c>
      <c r="S17" s="2">
        <v>25.2</v>
      </c>
      <c r="T17" s="2" t="s">
        <v>33</v>
      </c>
      <c r="U17" s="2" t="s">
        <v>33</v>
      </c>
      <c r="V17" s="2" t="s">
        <v>33</v>
      </c>
      <c r="W17" s="2" t="s">
        <v>33</v>
      </c>
      <c r="X17" s="2">
        <v>27.2</v>
      </c>
      <c r="Y17" s="2" t="s">
        <v>33</v>
      </c>
      <c r="Z17" s="2" t="s">
        <v>33</v>
      </c>
      <c r="AA17" s="2">
        <v>25.3</v>
      </c>
      <c r="AB17" s="2">
        <v>26.1</v>
      </c>
      <c r="AC17" s="2">
        <v>26.8</v>
      </c>
      <c r="AD17" s="2">
        <v>26.4</v>
      </c>
      <c r="AE17" s="2">
        <v>27.1</v>
      </c>
      <c r="AF17" s="2">
        <v>28.1</v>
      </c>
      <c r="AG17" s="2">
        <v>27.3</v>
      </c>
      <c r="AH17" s="2">
        <v>27.7</v>
      </c>
      <c r="AI17" s="2">
        <v>27.6</v>
      </c>
      <c r="AJ17" s="2">
        <v>27.6</v>
      </c>
      <c r="AK17" s="2">
        <v>28.8</v>
      </c>
      <c r="AL17" s="2">
        <v>28.4</v>
      </c>
      <c r="AM17" s="2">
        <v>29.2</v>
      </c>
      <c r="AN17" s="2">
        <v>29.6</v>
      </c>
      <c r="AO17" s="2">
        <v>28.8</v>
      </c>
      <c r="AP17" s="2">
        <v>30</v>
      </c>
      <c r="AQ17" s="2">
        <v>29.3</v>
      </c>
      <c r="AR17" s="2">
        <v>28.9</v>
      </c>
      <c r="AS17" s="2"/>
      <c r="AT17" s="2"/>
      <c r="AU17" s="2"/>
      <c r="AV17" s="2"/>
      <c r="AW17" s="2"/>
      <c r="AX17" s="2"/>
      <c r="AY17" s="2"/>
      <c r="AZ17" s="2"/>
      <c r="BA17" s="2"/>
    </row>
    <row r="18" spans="1:53" hidden="1" x14ac:dyDescent="0.25">
      <c r="A18" t="s">
        <v>29</v>
      </c>
      <c r="B18" t="s">
        <v>5</v>
      </c>
      <c r="C18" s="2">
        <v>253844187411.20279</v>
      </c>
      <c r="D18" s="2">
        <v>270942678836.50427</v>
      </c>
      <c r="E18" s="2">
        <v>287216047837.20447</v>
      </c>
      <c r="F18" s="2">
        <v>297198911481.63373</v>
      </c>
      <c r="G18" s="2">
        <v>318861421848.5813</v>
      </c>
      <c r="H18" s="2">
        <v>331044280901.66803</v>
      </c>
      <c r="I18" s="2">
        <v>348438337981.24713</v>
      </c>
      <c r="J18" s="2">
        <v>365081718782.48975</v>
      </c>
      <c r="K18" s="2">
        <v>379558507289.91864</v>
      </c>
      <c r="L18" s="2">
        <v>416101576411.29974</v>
      </c>
      <c r="M18" s="2">
        <v>440848565769.56696</v>
      </c>
      <c r="N18" s="2">
        <v>465242720840.36151</v>
      </c>
      <c r="O18" s="2">
        <v>470159552155.66772</v>
      </c>
      <c r="P18" s="2">
        <v>495935560738.55371</v>
      </c>
      <c r="Q18" s="2">
        <v>519496349422.92041</v>
      </c>
      <c r="R18" s="2">
        <v>554089216863.59729</v>
      </c>
      <c r="S18" s="2">
        <v>596058659383.04443</v>
      </c>
      <c r="T18" s="2">
        <v>641058240489.18433</v>
      </c>
      <c r="U18" s="2">
        <v>667019950767.34143</v>
      </c>
      <c r="V18" s="2">
        <v>708271238131.19751</v>
      </c>
      <c r="W18" s="2">
        <v>770923180565.54163</v>
      </c>
      <c r="X18" s="2">
        <v>800534271756.8844</v>
      </c>
      <c r="Y18" s="2">
        <v>839151774957.44543</v>
      </c>
      <c r="Z18" s="2">
        <v>871072901385.71362</v>
      </c>
      <c r="AA18" s="2">
        <v>939542554364.62048</v>
      </c>
      <c r="AB18" s="2">
        <v>1013981915397.8223</v>
      </c>
      <c r="AC18" s="2">
        <v>1094324068978.9015</v>
      </c>
      <c r="AD18" s="2">
        <v>1182534605661.6208</v>
      </c>
      <c r="AE18" s="2">
        <v>1273126394881.5674</v>
      </c>
      <c r="AF18" s="2">
        <v>1312423962607.7778</v>
      </c>
      <c r="AG18" s="2">
        <v>1415605275566.114</v>
      </c>
      <c r="AH18" s="2">
        <v>1535897532897.3945</v>
      </c>
      <c r="AI18" s="2">
        <v>1616398760695.3801</v>
      </c>
      <c r="AJ18" s="2">
        <v>1704595760877.1682</v>
      </c>
      <c r="AK18" s="2">
        <v>1813453059872.8376</v>
      </c>
      <c r="AL18" s="2">
        <v>1947834059120.8574</v>
      </c>
      <c r="AM18" s="2">
        <v>2103587813812.7495</v>
      </c>
      <c r="AN18" s="2">
        <v>2277266450219.5737</v>
      </c>
      <c r="AO18" s="2">
        <v>2432015436983.769</v>
      </c>
      <c r="AP18" s="2">
        <v>2588974097973.6108</v>
      </c>
      <c r="AQ18" s="2">
        <v>2685747840248.3223</v>
      </c>
      <c r="AR18" s="2">
        <v>2508593750079.0254</v>
      </c>
      <c r="AS18" s="2"/>
      <c r="AT18" s="2"/>
      <c r="AU18" s="2"/>
      <c r="AV18" s="2"/>
      <c r="AW18" s="2"/>
      <c r="AX18" s="2"/>
      <c r="AY18" s="2"/>
      <c r="AZ18" s="2"/>
      <c r="BA18" s="2"/>
    </row>
    <row r="19" spans="1:53" x14ac:dyDescent="0.25">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row>
    <row r="20" spans="1:53" x14ac:dyDescent="0.25">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row>
    <row r="21" spans="1:53" x14ac:dyDescent="0.25">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row>
    <row r="22" spans="1:53" x14ac:dyDescent="0.25">
      <c r="A22" t="s">
        <v>30</v>
      </c>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row>
    <row r="23" spans="1:53" x14ac:dyDescent="0.25">
      <c r="A23" t="s">
        <v>0</v>
      </c>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row>
    <row r="24" spans="1:53" x14ac:dyDescent="0.25">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row>
    <row r="25" spans="1:53" x14ac:dyDescent="0.25">
      <c r="D25" s="2" t="s">
        <v>91</v>
      </c>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row>
    <row r="26" spans="1:53" x14ac:dyDescent="0.25">
      <c r="C26" s="2" t="s">
        <v>55</v>
      </c>
      <c r="D26" s="2">
        <f>CORREL(C4:AR4,C5:AR5)</f>
        <v>0.90434945934319511</v>
      </c>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row>
    <row r="27" spans="1:53" x14ac:dyDescent="0.25">
      <c r="C27" t="s">
        <v>9</v>
      </c>
      <c r="D27">
        <f>CORREL(C8:AR8,C9:AR9)</f>
        <v>-0.78766426663409839</v>
      </c>
    </row>
    <row r="28" spans="1:53" x14ac:dyDescent="0.25">
      <c r="C28" s="2" t="s">
        <v>23</v>
      </c>
      <c r="D28">
        <f>CORREL(AF12:AR12,AF13:AR13)</f>
        <v>-0.92819649556409434</v>
      </c>
    </row>
    <row r="29" spans="1:53" x14ac:dyDescent="0.25">
      <c r="C29" s="2" t="s">
        <v>82</v>
      </c>
      <c r="D29">
        <f>CORREL(AA16:AR16,AA17:AR17)</f>
        <v>0.91578475689599814</v>
      </c>
    </row>
  </sheetData>
  <conditionalFormatting sqref="C2:AR2">
    <cfRule type="expression" priority="1">
      <formula>OR($C2&lt;AVERAGE($C2:$AR2)-STDEV($C2:$AR2), $C2&gt;AVERAGE($C2:$AR2)+STDEV($C2:$AR2))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8"/>
  <sheetViews>
    <sheetView topLeftCell="A4" workbookViewId="0">
      <selection activeCell="C4" sqref="C4"/>
    </sheetView>
  </sheetViews>
  <sheetFormatPr defaultRowHeight="15" x14ac:dyDescent="0.25"/>
  <cols>
    <col min="1" max="1" width="18.140625" style="1" bestFit="1" customWidth="1"/>
    <col min="2" max="2" width="12.28515625" style="1" bestFit="1" customWidth="1"/>
    <col min="3" max="3" width="79.85546875" style="1" bestFit="1" customWidth="1"/>
    <col min="4" max="4" width="217.140625" style="1" bestFit="1" customWidth="1"/>
    <col min="5" max="5" width="255.140625" style="1" bestFit="1" customWidth="1"/>
    <col min="6" max="6" width="251.42578125" style="1" bestFit="1" customWidth="1"/>
    <col min="7" max="7" width="84.7109375" style="1" bestFit="1" customWidth="1"/>
    <col min="8" max="8" width="15.28515625" style="1" bestFit="1" customWidth="1"/>
    <col min="9" max="9" width="10.5703125" style="1" bestFit="1" customWidth="1"/>
    <col min="10" max="10" width="11.42578125" style="1" bestFit="1" customWidth="1"/>
    <col min="11" max="11" width="19.42578125" style="1" bestFit="1" customWidth="1"/>
    <col min="12" max="13" width="255.5703125" style="1" bestFit="1" customWidth="1"/>
    <col min="14" max="14" width="255.28515625" style="1" bestFit="1" customWidth="1"/>
    <col min="15" max="15" width="249.28515625" style="1" bestFit="1" customWidth="1"/>
    <col min="16" max="16" width="67.28515625" style="1" bestFit="1" customWidth="1"/>
    <col min="17" max="17" width="52.5703125" style="1" bestFit="1" customWidth="1"/>
    <col min="18" max="16384" width="9.140625" style="1"/>
  </cols>
  <sheetData>
    <row r="1" spans="1:17" x14ac:dyDescent="0.25">
      <c r="A1" s="1" t="s">
        <v>17</v>
      </c>
      <c r="B1" s="1" t="s">
        <v>48</v>
      </c>
      <c r="C1" s="1" t="s">
        <v>4</v>
      </c>
      <c r="D1" s="1" t="s">
        <v>80</v>
      </c>
      <c r="E1" s="1" t="s">
        <v>49</v>
      </c>
      <c r="F1" s="1" t="s">
        <v>1</v>
      </c>
      <c r="G1" s="1" t="s">
        <v>65</v>
      </c>
      <c r="H1" s="1" t="s">
        <v>44</v>
      </c>
      <c r="I1" s="1" t="s">
        <v>36</v>
      </c>
      <c r="J1" s="1" t="s">
        <v>31</v>
      </c>
      <c r="K1" s="1" t="s">
        <v>68</v>
      </c>
      <c r="L1" s="1" t="s">
        <v>79</v>
      </c>
      <c r="M1" s="1" t="s">
        <v>60</v>
      </c>
      <c r="N1" s="1" t="s">
        <v>78</v>
      </c>
      <c r="O1" s="1" t="s">
        <v>50</v>
      </c>
      <c r="P1" s="1" t="s">
        <v>70</v>
      </c>
      <c r="Q1" s="1" t="s">
        <v>35</v>
      </c>
    </row>
    <row r="2" spans="1:17" ht="300" x14ac:dyDescent="0.25">
      <c r="A2" s="1" t="s">
        <v>32</v>
      </c>
      <c r="B2" s="1" t="s">
        <v>71</v>
      </c>
      <c r="C2" s="1" t="s">
        <v>5</v>
      </c>
      <c r="E2" s="1" t="s">
        <v>57</v>
      </c>
      <c r="F2" s="1" t="s">
        <v>75</v>
      </c>
      <c r="G2" s="1" t="s">
        <v>74</v>
      </c>
      <c r="I2" s="1" t="s">
        <v>45</v>
      </c>
      <c r="J2" s="1">
        <v>2015</v>
      </c>
      <c r="K2" s="1" t="s">
        <v>6</v>
      </c>
      <c r="L2" s="1" t="s">
        <v>77</v>
      </c>
      <c r="M2" s="1" t="s">
        <v>16</v>
      </c>
      <c r="N2" s="1" t="s">
        <v>18</v>
      </c>
      <c r="Q2" s="1" t="s">
        <v>20</v>
      </c>
    </row>
    <row r="3" spans="1:17" ht="30" x14ac:dyDescent="0.25">
      <c r="A3" s="1" t="s">
        <v>83</v>
      </c>
      <c r="B3" s="1" t="s">
        <v>71</v>
      </c>
      <c r="C3" s="1" t="s">
        <v>69</v>
      </c>
      <c r="E3" s="1" t="s">
        <v>3</v>
      </c>
      <c r="F3" s="1" t="s">
        <v>75</v>
      </c>
      <c r="G3" s="1" t="s">
        <v>74</v>
      </c>
      <c r="I3" s="1" t="s">
        <v>45</v>
      </c>
      <c r="J3" s="1">
        <v>2015</v>
      </c>
      <c r="K3" s="1" t="s">
        <v>67</v>
      </c>
      <c r="L3" s="1" t="s">
        <v>86</v>
      </c>
      <c r="Q3" s="1" t="s">
        <v>20</v>
      </c>
    </row>
    <row r="4" spans="1:17" ht="195" x14ac:dyDescent="0.25">
      <c r="A4" s="1" t="s">
        <v>72</v>
      </c>
      <c r="B4" s="1" t="s">
        <v>71</v>
      </c>
      <c r="C4" s="1" t="s">
        <v>7</v>
      </c>
      <c r="D4" s="1" t="s">
        <v>26</v>
      </c>
      <c r="E4" s="1" t="s">
        <v>12</v>
      </c>
      <c r="F4" s="1" t="s">
        <v>56</v>
      </c>
      <c r="G4" s="1" t="s">
        <v>64</v>
      </c>
      <c r="H4" s="1" t="s">
        <v>39</v>
      </c>
      <c r="I4" s="1" t="s">
        <v>45</v>
      </c>
      <c r="L4" s="1" t="s">
        <v>63</v>
      </c>
      <c r="M4" s="1" t="s">
        <v>54</v>
      </c>
      <c r="N4" s="1" t="s">
        <v>47</v>
      </c>
      <c r="O4" s="1" t="s">
        <v>81</v>
      </c>
      <c r="P4" s="1" t="s">
        <v>76</v>
      </c>
      <c r="Q4" s="1" t="s">
        <v>20</v>
      </c>
    </row>
    <row r="5" spans="1:17" ht="240" x14ac:dyDescent="0.25">
      <c r="A5" s="1" t="s">
        <v>25</v>
      </c>
      <c r="B5" s="1" t="s">
        <v>71</v>
      </c>
      <c r="C5" s="1" t="s">
        <v>37</v>
      </c>
      <c r="D5" s="1" t="s">
        <v>24</v>
      </c>
      <c r="E5" s="1" t="s">
        <v>11</v>
      </c>
      <c r="F5" s="1" t="s">
        <v>51</v>
      </c>
      <c r="G5" s="1" t="s">
        <v>58</v>
      </c>
      <c r="H5" s="1" t="s">
        <v>39</v>
      </c>
      <c r="I5" s="1" t="s">
        <v>45</v>
      </c>
      <c r="L5" s="1" t="s">
        <v>21</v>
      </c>
      <c r="M5" s="1" t="s">
        <v>66</v>
      </c>
      <c r="O5" s="1" t="s">
        <v>41</v>
      </c>
      <c r="P5" s="1" t="s">
        <v>76</v>
      </c>
      <c r="Q5" s="1" t="s">
        <v>20</v>
      </c>
    </row>
    <row r="6" spans="1:17" ht="135" x14ac:dyDescent="0.25">
      <c r="A6" s="1" t="s">
        <v>62</v>
      </c>
      <c r="B6" s="1" t="s">
        <v>71</v>
      </c>
      <c r="C6" s="1" t="s">
        <v>8</v>
      </c>
      <c r="E6" s="1" t="s">
        <v>42</v>
      </c>
      <c r="F6" s="1" t="s">
        <v>28</v>
      </c>
      <c r="G6" s="1" t="s">
        <v>27</v>
      </c>
      <c r="I6" s="1" t="s">
        <v>45</v>
      </c>
      <c r="K6" s="1" t="s">
        <v>67</v>
      </c>
      <c r="L6" s="1" t="s">
        <v>34</v>
      </c>
      <c r="M6" s="1" t="s">
        <v>43</v>
      </c>
      <c r="N6" s="1" t="s">
        <v>19</v>
      </c>
      <c r="O6" s="1" t="s">
        <v>46</v>
      </c>
      <c r="Q6" s="1" t="s">
        <v>20</v>
      </c>
    </row>
    <row r="7" spans="1:17" ht="150" x14ac:dyDescent="0.25">
      <c r="A7" s="1" t="s">
        <v>73</v>
      </c>
      <c r="B7" s="1" t="s">
        <v>71</v>
      </c>
      <c r="C7" s="1" t="s">
        <v>13</v>
      </c>
      <c r="E7" s="1" t="s">
        <v>59</v>
      </c>
      <c r="F7" s="1" t="s">
        <v>28</v>
      </c>
      <c r="G7" s="1" t="s">
        <v>53</v>
      </c>
      <c r="I7" s="1" t="s">
        <v>45</v>
      </c>
      <c r="K7" s="1" t="s">
        <v>67</v>
      </c>
      <c r="L7" s="1" t="s">
        <v>52</v>
      </c>
      <c r="M7" s="1" t="s">
        <v>14</v>
      </c>
      <c r="N7" s="1" t="s">
        <v>22</v>
      </c>
      <c r="O7" s="1" t="s">
        <v>46</v>
      </c>
      <c r="Q7" s="1" t="s">
        <v>20</v>
      </c>
    </row>
    <row r="8" spans="1:17" ht="90" x14ac:dyDescent="0.25">
      <c r="A8" s="1" t="s">
        <v>84</v>
      </c>
      <c r="B8" s="1" t="s">
        <v>71</v>
      </c>
      <c r="C8" s="1" t="s">
        <v>85</v>
      </c>
      <c r="E8" s="1" t="s">
        <v>2</v>
      </c>
      <c r="F8" s="1" t="s">
        <v>15</v>
      </c>
      <c r="G8" s="1" t="s">
        <v>10</v>
      </c>
      <c r="I8" s="1" t="s">
        <v>45</v>
      </c>
      <c r="K8" s="1" t="s">
        <v>67</v>
      </c>
      <c r="L8" s="1" t="s">
        <v>38</v>
      </c>
      <c r="M8" s="1" t="s">
        <v>61</v>
      </c>
      <c r="N8" s="1" t="s">
        <v>40</v>
      </c>
      <c r="Q8" s="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4</vt:i4>
      </vt:variant>
    </vt:vector>
  </HeadingPairs>
  <TitlesOfParts>
    <vt:vector size="6" baseType="lpstr">
      <vt:lpstr>Data</vt:lpstr>
      <vt:lpstr>Series - Metadata</vt:lpstr>
      <vt:lpstr>US</vt:lpstr>
      <vt:lpstr>Sweden</vt:lpstr>
      <vt:lpstr>Brazil</vt:lpstr>
      <vt:lpstr>China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Lane</dc:creator>
  <cp:lastModifiedBy>Lane</cp:lastModifiedBy>
  <dcterms:created xsi:type="dcterms:W3CDTF">2023-06-02T01:30:29Z</dcterms:created>
  <dcterms:modified xsi:type="dcterms:W3CDTF">2023-06-02T17:10:42Z</dcterms:modified>
</cp:coreProperties>
</file>